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G\OneDrive\Udemy\1_VBA\Resources\Milestones\InvoiceGeneration\"/>
    </mc:Choice>
  </mc:AlternateContent>
  <bookViews>
    <workbookView showHorizontalScroll="0" showVerticalScroll="0" xWindow="0" yWindow="0" windowWidth="13665" windowHeight="8543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9" l="1"/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>
  <authors>
    <author>Leila Gharani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<sst xmlns="http://schemas.openxmlformats.org/spreadsheetml/2006/main" count="594" uniqueCount="314">
  <si>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</si>
  <si>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</si>
  <si>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</si>
  <si>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</si>
  <si>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</si>
  <si>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</si>
  <si>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</si>
  <si>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</si>
  <si>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</si>
  <si>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</si>
  <si>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</si>
  <si>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</si>
  <si>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</si>
  <si>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</si>
  <si>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</si>
  <si>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</si>
  <si>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</si>
  <si>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</si>
  <si>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</si>
  <si>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</si>
  <si>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</si>
  <si>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</si>
  <si>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</si>
  <si>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</si>
  <si>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</si>
  <si>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</si>
  <si>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</si>
  <si>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</si>
  <si>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</si>
  <si>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</si>
  <si>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</si>
  <si>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</si>
  <si>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</si>
  <si>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</si>
  <si>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</si>
  <si>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</si>
  <si>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</si>
  <si>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</si>
  <si>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</si>
  <si>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</si>
  <si>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</si>
  <si>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</si>
  <si>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</si>
  <si>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</si>
  <si>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</si>
  <si>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</si>
  <si>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</si>
  <si>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</si>
  <si>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</si>
  <si>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</si>
  <si>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</si>
  <si>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</si>
  <si>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</si>
  <si>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</si>
  <si>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</si>
  <si>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</si>
  <si>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</si>
  <si>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</si>
  <si>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</si>
  <si>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</si>
  <si>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</si>
  <si>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</si>
  <si>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</si>
  <si>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</si>
  <si>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</si>
  <si>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</si>
  <si>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</si>
  <si>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</si>
  <si>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</si>
  <si>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</si>
  <si>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</si>
  <si>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</si>
  <si>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</si>
  <si>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</si>
  <si>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</si>
  <si>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</si>
  <si>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</si>
  <si>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</si>
  <si>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</si>
  <si>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</si>
  <si>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</si>
  <si>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</si>
  <si>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</si>
  <si>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</si>
  <si>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</si>
  <si>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</si>
  <si>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</si>
  <si>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</si>
  <si>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</si>
  <si>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</si>
  <si>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</si>
  <si>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</si>
  <si>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</si>
  <si>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</si>
  <si>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</si>
  <si>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</si>
  <si>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</si>
  <si>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</si>
  <si>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</si>
  <si>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</si>
  <si>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</si>
  <si>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</si>
  <si>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</si>
  <si>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</si>
  <si>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</si>
  <si>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</si>
  <si>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</si>
  <si>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</si>
  <si>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</si>
  <si>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</si>
  <si>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</si>
  <si>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</si>
  <si>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</si>
  <si>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</si>
  <si>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</si>
  <si>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</si>
  <si>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</si>
  <si>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</si>
  <si>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</si>
  <si>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</si>
  <si>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</si>
  <si>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</si>
  <si>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</si>
  <si>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</si>
  <si>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</si>
  <si>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</si>
  <si>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</si>
  <si>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</si>
  <si>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</si>
  <si>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</si>
  <si>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</si>
  <si>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</si>
  <si>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</si>
  <si>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</si>
  <si>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</si>
  <si>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</si>
  <si>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</si>
  <si>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</si>
  <si>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</si>
  <si>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</si>
  <si>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</si>
  <si>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</si>
  <si>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</si>
  <si>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</si>
  <si>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</si>
  <si>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</si>
  <si>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</si>
  <si>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</si>
  <si>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</si>
  <si>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</si>
  <si>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</si>
  <si>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</si>
  <si>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</si>
  <si>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</si>
  <si>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</si>
  <si>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</si>
  <si>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</si>
  <si>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</si>
  <si>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</si>
  <si>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</si>
  <si>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</si>
  <si>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</si>
  <si>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</si>
  <si>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</si>
  <si>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</si>
  <si>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</si>
  <si>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</si>
  <si>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</si>
  <si>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</si>
  <si>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</si>
  <si>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</si>
  <si>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</si>
  <si>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</si>
  <si>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</si>
  <si>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</si>
  <si>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</si>
  <si>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</si>
  <si>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</si>
  <si>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</si>
  <si>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</si>
  <si>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</si>
  <si>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</si>
  <si>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</si>
  <si>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</si>
  <si>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</si>
  <si>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</si>
  <si>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</si>
  <si>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</si>
  <si>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</si>
  <si>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</si>
  <si>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</si>
  <si>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</si>
  <si>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</si>
  <si>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</si>
  <si>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</si>
  <si>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</si>
  <si>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</si>
  <si>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</si>
  <si>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</si>
  <si>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</si>
  <si>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</si>
  <si>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</si>
  <si>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</si>
  <si>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</si>
  <si>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</si>
  <si>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</si>
  <si>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</si>
  <si>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</si>
  <si>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</si>
  <si>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</si>
  <si>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</si>
  <si>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</si>
  <si>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</si>
  <si>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</si>
  <si>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</si>
  <si>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</si>
  <si>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</si>
  <si>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</si>
  <si>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</si>
  <si>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</si>
  <si>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</si>
  <si>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</si>
  <si>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</si>
  <si>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</si>
  <si>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</si>
  <si>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</si>
  <si>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</si>
  <si>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</si>
  <si>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</si>
  <si>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</si>
  <si>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</si>
  <si>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</si>
  <si>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</si>
  <si>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</si>
  <si>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</si>
  <si>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</si>
  <si>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</si>
  <si>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</si>
  <si>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</si>
  <si>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</si>
  <si>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</si>
  <si>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</si>
  <si>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</si>
  <si>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</si>
  <si>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</si>
  <si>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</si>
  <si>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</si>
  <si>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</si>
  <si>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</si>
  <si>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</si>
  <si>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</si>
  <si>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</si>
  <si>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</si>
  <si>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</si>
  <si>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</si>
  <si>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</si>
  <si>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</si>
  <si>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</si>
  <si>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</si>
  <si>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</si>
  <si>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</si>
  <si>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</si>
  <si>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</si>
  <si>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</si>
  <si>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</si>
  <si>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</si>
  <si>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</si>
  <si>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</si>
  <si>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</si>
  <si>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</si>
  <si>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</si>
  <si>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</si>
  <si>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</si>
  <si>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</si>
  <si>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</si>
  <si>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</si>
  <si>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</si>
  <si>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</si>
  <si>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</si>
  <si>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</si>
  <si>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</si>
  <si>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</si>
  <si>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</si>
  <si>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</si>
  <si>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</si>
  <si>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</si>
  <si>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</si>
  <si>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</si>
  <si>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</si>
  <si>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</si>
  <si>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</si>
  <si>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</si>
  <si>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</si>
  <si>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</si>
  <si>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</si>
  <si>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</si>
  <si>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</si>
  <si>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</si>
  <si>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</si>
  <si>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</si>
  <si>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</si>
  <si>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</si>
  <si>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</si>
  <si>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</si>
  <si>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</si>
  <si>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</si>
  <si>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</si>
  <si>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</si>
  <si>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</si>
  <si>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</si>
  <si>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</si>
  <si>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</si>
  <si>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</si>
  <si>
    <t>VBA project as show in the tutorials. If you don't have Outlook use the method shown in Section 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</si>
</sst>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9E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07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0" fontId="3" fillId="2" borderId="0" xfId="0" applyFont="1" applyFill="1" applyProtection="1"/>
    <xf numFmtId="9" fontId="3" fillId="2" borderId="0" xfId="2" applyFont="1" applyFill="1" applyProtection="1"/>
    <xf numFmtId="43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4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5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6" fillId="8" borderId="7" xfId="0" quotePrefix="1" applyFont="1" applyFill="1" applyBorder="1"/>
    <xf numFmtId="0" fontId="16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2" fillId="8" borderId="7" xfId="0" applyFont="1" applyFill="1" applyBorder="1"/>
    <xf numFmtId="0" fontId="0" fillId="8" borderId="7" xfId="0" applyFont="1" applyFill="1" applyBorder="1"/>
    <xf numFmtId="0" fontId="18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166" fontId="0" fillId="0" borderId="5" xfId="2" applyNumberFormat="1" applyFont="1" applyBorder="1" applyAlignment="1">
      <alignment horizontal="center" vertical="center" wrapText="1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0" fontId="6" fillId="10" borderId="10" xfId="0" applyFont="1" applyFill="1" applyBorder="1" applyProtection="1"/>
    <xf numFmtId="0" fontId="0" fillId="7" borderId="11" xfId="0" applyFill="1" applyBorder="1"/>
    <xf numFmtId="0" fontId="20" fillId="0" borderId="0" xfId="0" applyFont="1" applyFill="1" applyAlignment="1">
      <alignment horizontal="left" indent="1"/>
    </xf>
    <xf numFmtId="0" fontId="0" fillId="0" borderId="0" xfId="0" applyFill="1"/>
    <xf numFmtId="0" fontId="21" fillId="7" borderId="0" xfId="0" applyFont="1" applyFill="1"/>
    <xf numFmtId="0" fontId="22" fillId="7" borderId="0" xfId="0" applyNumberFormat="1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56917" y="2963333"/>
          <a:ext cx="1645709" cy="454802"/>
          <a:chOff x="6656917" y="3111500"/>
          <a:chExt cx="1645709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0"/>
                <a:ext cx="1645709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51096" y="3523721"/>
          <a:ext cx="1642005" cy="418571"/>
          <a:chOff x="6651096" y="3671825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6" y="3671825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35791" y="3454931"/>
          <a:ext cx="1559455" cy="457729"/>
          <a:chOff x="2677582" y="3703576"/>
          <a:chExt cx="1559455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82" y="3703576"/>
                <a:ext cx="1559455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79375</xdr:colOff>
      <xdr:row>24</xdr:row>
      <xdr:rowOff>52916</xdr:rowOff>
    </xdr:from>
    <xdr:to>
      <xdr:col>15</xdr:col>
      <xdr:colOff>95250</xdr:colOff>
      <xdr:row>29</xdr:row>
      <xdr:rowOff>157788</xdr:rowOff>
    </xdr:to>
    <xdr:sp macro="" textlink="">
      <xdr:nvSpPr>
        <xdr:cNvPr id="16" name="Speech Bubble: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424584" y="4429125"/>
          <a:ext cx="2952749" cy="1099705"/>
        </a:xfrm>
        <a:prstGeom prst="wedgeRectCallout">
          <a:avLst>
            <a:gd name="adj1" fmla="val -60129"/>
            <a:gd name="adj2" fmla="val -46555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 note:</a:t>
          </a:r>
          <a:r>
            <a:rPr lang="en-US" sz="1100" baseline="0"/>
            <a:t> This is only an example</a:t>
          </a:r>
          <a:r>
            <a:rPr lang="en-US" sz="1100"/>
            <a:t> tool  to demonstrate VBA concepts from my online VBA course on Udemy.com. If you</a:t>
          </a:r>
          <a:r>
            <a:rPr lang="en-US" sz="1100" baseline="0"/>
            <a:t> are planning to use the code in this tool, please make sure you test and update code accordingly.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5722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1362075</xdr:colOff>
          <xdr:row>4</xdr:row>
          <xdr:rowOff>252413</xdr:rowOff>
        </xdr:from>
        <xdr:to>
          <xdr:col>2</xdr:col>
          <xdr:colOff>1262063</xdr:colOff>
          <xdr:row>6</xdr:row>
          <xdr:rowOff>14288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247650</xdr:rowOff>
        </xdr:from>
        <xdr:to>
          <xdr:col>1</xdr:col>
          <xdr:colOff>1233488</xdr:colOff>
          <xdr:row>5</xdr:row>
          <xdr:rowOff>214313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InvoiceTable" displayName="InvoiceTable" ref="B7:AA42" totalsRowShown="0" headerRowDxfId="38" dataDxfId="36" headerRowBorderDxfId="37">
  <tableColumns count="26">
    <tableColumn id="1" name="Customer" dataDxfId="35"/>
    <tableColumn id="2" name="Company" dataDxfId="34"/>
    <tableColumn id="3" name="Address Line 1" dataDxfId="33"/>
    <tableColumn id="4" name="Address Line 2" dataDxfId="32"/>
    <tableColumn id="5" name="Address Line 3" dataDxfId="31"/>
    <tableColumn id="6" name="UID" dataDxfId="30"/>
    <tableColumn id="22" name="VAT" dataDxfId="29" dataCellStyle="Percent"/>
    <tableColumn id="7" name="Services Line 1" dataDxfId="28"/>
    <tableColumn id="8" name="Date Line 1" dataDxfId="27"/>
    <tableColumn id="9" name="Amount Line 1" dataDxfId="26"/>
    <tableColumn id="10" name="Services Line 2" dataDxfId="25"/>
    <tableColumn id="11" name="Date Line 2" dataDxfId="24"/>
    <tableColumn id="12" name="Amount Line 2" dataDxfId="23"/>
    <tableColumn id="13" name="Services Line 3" dataDxfId="22"/>
    <tableColumn id="14" name="Date Line 3" dataDxfId="21"/>
    <tableColumn id="15" name="Amount Line 3" dataDxfId="20"/>
    <tableColumn id="19" name="Agreed Amount Total" dataDxfId="19">
      <calculatedColumnFormula>InvoiceTable[[#This Row],[Amount Line 1]]+InvoiceTable[[#This Row],[Amount Line 2]]+InvoiceTable[[#This Row],[Amount Line 3]]</calculatedColumnFormula>
    </tableColumn>
    <tableColumn id="20" name="Additional Expenses" dataDxfId="18"/>
    <tableColumn id="21" name="Net Amount" dataDxfId="17">
      <calculatedColumnFormula>InvoiceTable[[#This Row],[Agreed Amount Total]]+InvoiceTable[[#This Row],[Additional Expenses]]</calculatedColumnFormula>
    </tableColumn>
    <tableColumn id="23" name="Final Invoiced Amount" dataDxfId="16">
      <calculatedColumnFormula>InvoiceTable[[#This Row],[Net Amount]]+InvoiceTable[[#This Row],[VAT to Pay]]</calculatedColumnFormula>
    </tableColumn>
    <tableColumn id="24" name="Invoice number" dataDxfId="15"/>
    <tableColumn id="25" name="Invoice Date" dataDxfId="14"/>
    <tableColumn id="26" name="Due by" dataDxfId="13">
      <calculatedColumnFormula>IF(InvoiceTable[[#This Row],[Invoice Date]]="","",WORKDAY(InvoiceTable[[#This Row],[Invoice Date]],14))</calculatedColumnFormula>
    </tableColumn>
    <tableColumn id="27" name="Status" dataDxfId="12"/>
    <tableColumn id="28" name="Date Paid" dataDxfId="11"/>
    <tableColumn id="29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id="1" name="CustomerTable" displayName="CustomerTable" ref="A1:H32" totalsRowShown="0" headerRowDxfId="9" dataDxfId="8">
  <autoFilter ref="A1:H32"/>
  <tableColumns count="8">
    <tableColumn id="1" name="Customer" dataDxfId="7"/>
    <tableColumn id="2" name="Company" dataDxfId="6"/>
    <tableColumn id="3" name="Address Line 1" dataDxfId="5"/>
    <tableColumn id="4" name="Address Line 2" dataDxfId="4"/>
    <tableColumn id="5" name="Address Line 3" dataDxfId="3"/>
    <tableColumn id="6" name="UID" dataDxfId="2"/>
    <tableColumn id="7" name="VAT" dataDxfId="1" dataCellStyle="Percent"/>
    <tableColumn id="8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sh">
    <tabColor theme="1" tint="0.34998626667073579"/>
  </sheetPr>
  <dimension ref="A1:V57"/>
  <sheetViews>
    <sheetView showGridLines="0" tabSelected="1" zoomScale="90" zoomScaleNormal="90" workbookViewId="0">
      <selection activeCell="C8" sqref="C8"/>
    </sheetView>
  </sheetViews>
  <sheetFormatPr defaultColWidth="0" defaultRowHeight="13.5" zeroHeight="1" x14ac:dyDescent="0.35"/>
  <cols>
    <col min="1" max="1" width="1.625" customWidth="1"/>
    <col min="2" max="2" width="2.37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5">
      <c r="A1" s="13"/>
      <c r="B1" s="13"/>
      <c r="C1" s="79">
        <v>43187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4.25" customHeight="1" x14ac:dyDescent="0.35">
      <c r="A2" s="13"/>
      <c r="B2" s="13"/>
      <c r="C2" s="106">
        <f>YEAR(C1)</f>
        <v>2018</v>
      </c>
      <c r="D2" s="15"/>
      <c r="E2" s="15"/>
      <c r="F2" s="15"/>
      <c r="G2" s="13"/>
      <c r="H2" s="15"/>
      <c r="I2" s="15"/>
      <c r="J2" s="15"/>
      <c r="K2" s="13"/>
      <c r="L2" s="15"/>
      <c r="M2" s="15"/>
      <c r="N2" s="15"/>
      <c r="O2" s="13"/>
      <c r="P2" s="13"/>
      <c r="Q2" s="13"/>
      <c r="R2" s="13"/>
      <c r="S2" s="13"/>
      <c r="T2" s="13"/>
      <c r="U2" s="13"/>
      <c r="V2" s="13"/>
    </row>
    <row r="3" spans="1:22" ht="17.25" customHeight="1" x14ac:dyDescent="0.4">
      <c r="A3" s="13"/>
      <c r="B3" s="13"/>
      <c r="C3" s="106"/>
      <c r="D3" s="105" t="s">
        <v>194</v>
      </c>
      <c r="E3" s="13"/>
      <c r="F3" s="13"/>
      <c r="G3" s="13"/>
      <c r="H3" s="105" t="s">
        <v>195</v>
      </c>
      <c r="I3" s="13"/>
      <c r="J3" s="13"/>
      <c r="K3" s="13"/>
      <c r="L3" s="105" t="s">
        <v>196</v>
      </c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17.25" customHeight="1" x14ac:dyDescent="0.35">
      <c r="A4" s="13"/>
      <c r="B4" s="13"/>
      <c r="C4" s="18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39" customHeight="1" x14ac:dyDescent="0.35">
      <c r="A5" s="13"/>
      <c r="B5" s="13"/>
      <c r="C5" s="13"/>
      <c r="D5" s="13"/>
      <c r="E5" s="14">
        <f>SUMIFS(InvoiceTable[Net Amount],InvoiceTable[Invoice Date],"&gt;="&amp;DATE(Dashboard!C2,1,1),InvoiceTable[Invoice Date],"&lt;"&amp;DATE(Dashboard!C2+1,1,1),InvoiceTable[Status],"paid")</f>
        <v>42380</v>
      </c>
      <c r="F5" s="13"/>
      <c r="G5" s="13"/>
      <c r="H5" s="13"/>
      <c r="I5" s="14">
        <f>SUMIFS(InvoiceTable[Net Amount],InvoiceTable[Invoice Date],"&gt;="&amp;DATE(Dashboard!C2,1,1),InvoiceTable[Invoice Date],"&lt;"&amp;DATE(Dashboard!C2+1,1,1),InvoiceTable[Status],"&lt;&gt;paid")</f>
        <v>5562.5</v>
      </c>
      <c r="J5" s="13"/>
      <c r="K5" s="13"/>
      <c r="L5" s="13"/>
      <c r="M5" s="17">
        <f>COUNTIFS(InvoiceTable[Invoice Date],"&gt;="&amp;DATE(Dashboard!C2,1,1),InvoiceTable[Invoice Date],"&lt;"&amp;DATE(Dashboard!C2+1,1,1))</f>
        <v>13</v>
      </c>
      <c r="N5" s="13"/>
      <c r="O5" s="13"/>
      <c r="P5" s="13"/>
      <c r="Q5" s="13"/>
      <c r="R5" s="13"/>
      <c r="S5" s="13"/>
      <c r="T5" s="13"/>
      <c r="U5" s="13"/>
      <c r="V5" s="13"/>
    </row>
    <row r="6" spans="1:22" x14ac:dyDescent="0.35">
      <c r="A6" s="13"/>
      <c r="B6" s="13"/>
      <c r="C6" s="13"/>
      <c r="D6" s="15"/>
      <c r="E6" s="15"/>
      <c r="F6" s="15"/>
      <c r="G6" s="13"/>
      <c r="H6" s="15"/>
      <c r="I6" s="15"/>
      <c r="J6" s="15"/>
      <c r="K6" s="13"/>
      <c r="L6" s="15"/>
      <c r="M6" s="15"/>
      <c r="N6" s="15"/>
      <c r="O6" s="13"/>
      <c r="P6" s="13"/>
      <c r="Q6" s="13"/>
      <c r="R6" s="13"/>
      <c r="S6" s="13"/>
      <c r="T6" s="13"/>
      <c r="U6" s="13"/>
      <c r="V6" s="13"/>
    </row>
    <row r="7" spans="1:22" x14ac:dyDescent="0.3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11.35" customHeight="1" x14ac:dyDescent="0.3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11.35" customHeight="1" x14ac:dyDescent="0.3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9.85" customHeight="1" x14ac:dyDescent="0.3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9.85" customHeight="1" x14ac:dyDescent="0.3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ht="23.25" customHeight="1" x14ac:dyDescent="0.4">
      <c r="A12" s="13"/>
      <c r="B12" s="13"/>
      <c r="C12" s="13"/>
      <c r="D12" s="32" t="s">
        <v>307</v>
      </c>
      <c r="E12" s="19"/>
      <c r="F12" s="19"/>
      <c r="G12" s="13"/>
      <c r="H12" s="32" t="s">
        <v>201</v>
      </c>
      <c r="I12" s="19"/>
      <c r="J12" s="19"/>
      <c r="K12" s="13"/>
      <c r="L12" s="32" t="s">
        <v>287</v>
      </c>
      <c r="M12" s="19"/>
      <c r="N12" s="19"/>
      <c r="O12" s="13"/>
      <c r="P12" s="13"/>
      <c r="Q12" s="13"/>
      <c r="R12" s="13"/>
      <c r="S12" s="13"/>
      <c r="T12" s="13"/>
      <c r="U12" s="13"/>
      <c r="V12" s="13"/>
    </row>
    <row r="13" spans="1:22" ht="19.5" customHeight="1" x14ac:dyDescent="0.35">
      <c r="A13" s="13"/>
      <c r="B13" s="13"/>
      <c r="C13" s="13"/>
      <c r="D13" s="20" t="s">
        <v>308</v>
      </c>
      <c r="E13" s="19"/>
      <c r="F13" s="19"/>
      <c r="G13" s="13"/>
      <c r="H13" s="20" t="s">
        <v>285</v>
      </c>
      <c r="I13" s="19"/>
      <c r="J13" s="19"/>
      <c r="K13" s="13"/>
      <c r="L13" s="20" t="s">
        <v>288</v>
      </c>
      <c r="M13" s="19"/>
      <c r="N13" s="19"/>
      <c r="O13" s="13"/>
      <c r="P13" s="13"/>
      <c r="Q13" s="13"/>
      <c r="R13" s="13"/>
      <c r="S13" s="13"/>
      <c r="T13" s="13"/>
      <c r="U13" s="13"/>
      <c r="V13" s="13"/>
    </row>
    <row r="14" spans="1:22" x14ac:dyDescent="0.35">
      <c r="A14" s="13"/>
      <c r="B14" s="13"/>
      <c r="C14" s="13"/>
      <c r="D14" s="20" t="s">
        <v>309</v>
      </c>
      <c r="E14" s="19"/>
      <c r="F14" s="19"/>
      <c r="G14" s="13"/>
      <c r="H14" s="20" t="s">
        <v>284</v>
      </c>
      <c r="I14" s="19"/>
      <c r="J14" s="19"/>
      <c r="K14" s="13"/>
      <c r="L14" s="20" t="s">
        <v>289</v>
      </c>
      <c r="M14" s="19"/>
      <c r="N14" s="19"/>
      <c r="O14" s="13"/>
      <c r="P14" s="13"/>
      <c r="Q14" s="13"/>
      <c r="R14" s="13"/>
      <c r="S14" s="13"/>
      <c r="T14" s="13"/>
      <c r="U14" s="13"/>
      <c r="V14" s="13"/>
    </row>
    <row r="15" spans="1:22" x14ac:dyDescent="0.35">
      <c r="A15" s="13"/>
      <c r="B15" s="13"/>
      <c r="C15" s="13"/>
      <c r="D15" s="20" t="s">
        <v>310</v>
      </c>
      <c r="E15" s="19"/>
      <c r="F15" s="19"/>
      <c r="G15" s="13"/>
      <c r="H15" s="20"/>
      <c r="I15" s="19"/>
      <c r="J15" s="19"/>
      <c r="K15" s="13"/>
      <c r="N15" s="19"/>
      <c r="O15" s="13"/>
      <c r="P15" s="13"/>
      <c r="Q15" s="13"/>
      <c r="R15" s="13"/>
      <c r="S15" s="13"/>
      <c r="T15" s="13"/>
      <c r="U15" s="13"/>
      <c r="V15" s="13"/>
    </row>
    <row r="16" spans="1:22" ht="13.9" thickBot="1" x14ac:dyDescent="0.4">
      <c r="A16" s="13"/>
      <c r="B16" s="13"/>
      <c r="C16" s="13"/>
      <c r="D16" s="20"/>
      <c r="E16" s="19"/>
      <c r="F16" s="19"/>
      <c r="G16" s="13"/>
      <c r="H16" s="19"/>
      <c r="I16" s="19"/>
      <c r="J16" s="19"/>
      <c r="K16" s="13"/>
      <c r="L16" s="20" t="s">
        <v>290</v>
      </c>
      <c r="M16" s="101" t="s">
        <v>291</v>
      </c>
      <c r="N16" s="19"/>
      <c r="O16" s="13"/>
      <c r="P16" s="13"/>
      <c r="Q16" s="13"/>
      <c r="R16" s="13"/>
      <c r="S16" s="13"/>
      <c r="T16" s="13"/>
      <c r="U16" s="13"/>
      <c r="V16" s="13"/>
    </row>
    <row r="17" spans="1:22" x14ac:dyDescent="0.35">
      <c r="A17" s="13"/>
      <c r="B17" s="13"/>
      <c r="C17" s="13"/>
      <c r="D17" s="19"/>
      <c r="E17" s="19"/>
      <c r="F17" s="19"/>
      <c r="G17" s="13"/>
      <c r="H17" s="19"/>
      <c r="I17" s="19"/>
      <c r="J17" s="19"/>
      <c r="K17" s="13"/>
      <c r="L17" s="20"/>
      <c r="M17" s="19"/>
      <c r="N17" s="19"/>
      <c r="O17" s="13"/>
      <c r="P17" s="13"/>
      <c r="Q17" s="13"/>
      <c r="R17" s="13"/>
      <c r="S17" s="13"/>
      <c r="T17" s="13"/>
      <c r="U17" s="13"/>
      <c r="V17" s="13"/>
    </row>
    <row r="18" spans="1:22" ht="13.9" thickBot="1" x14ac:dyDescent="0.4">
      <c r="A18" s="13"/>
      <c r="B18" s="13"/>
      <c r="C18" s="13"/>
      <c r="D18" s="19"/>
      <c r="E18" s="19"/>
      <c r="F18" s="19"/>
      <c r="G18" s="13"/>
      <c r="H18" s="19"/>
      <c r="I18" s="19"/>
      <c r="J18" s="19"/>
      <c r="K18" s="13"/>
      <c r="L18" s="20" t="s">
        <v>292</v>
      </c>
      <c r="M18" s="101" t="s">
        <v>293</v>
      </c>
      <c r="N18" s="19"/>
      <c r="O18" s="13"/>
      <c r="P18" s="13"/>
      <c r="Q18" s="13"/>
      <c r="R18" s="13"/>
      <c r="S18" s="13"/>
      <c r="T18" s="13"/>
      <c r="U18" s="13"/>
      <c r="V18" s="13"/>
    </row>
    <row r="19" spans="1:22" x14ac:dyDescent="0.35">
      <c r="A19" s="13"/>
      <c r="B19" s="13"/>
      <c r="C19" s="13"/>
      <c r="D19" s="19"/>
      <c r="E19" s="19"/>
      <c r="F19" s="19"/>
      <c r="G19" s="13"/>
      <c r="H19" s="19"/>
      <c r="I19" s="19"/>
      <c r="J19" s="19"/>
      <c r="K19" s="13"/>
      <c r="L19" s="19"/>
      <c r="M19" s="19"/>
      <c r="N19" s="19"/>
      <c r="O19" s="13"/>
      <c r="P19" s="13"/>
      <c r="Q19" s="13"/>
      <c r="R19" s="13"/>
      <c r="S19" s="13"/>
      <c r="T19" s="13"/>
      <c r="U19" s="13"/>
      <c r="V19" s="13"/>
    </row>
    <row r="20" spans="1:22" x14ac:dyDescent="0.35">
      <c r="A20" s="13"/>
      <c r="B20" s="13"/>
      <c r="C20" s="13"/>
      <c r="D20" s="19"/>
      <c r="E20" s="19"/>
      <c r="F20" s="19"/>
      <c r="G20" s="13"/>
      <c r="H20" s="19"/>
      <c r="I20" s="19"/>
      <c r="J20" s="19"/>
      <c r="K20" s="13"/>
      <c r="L20" s="19"/>
      <c r="M20" s="19"/>
      <c r="N20" s="19"/>
      <c r="O20" s="13"/>
      <c r="P20" s="13"/>
      <c r="Q20" s="13"/>
      <c r="R20" s="13"/>
      <c r="S20" s="13"/>
      <c r="T20" s="13"/>
      <c r="U20" s="13"/>
      <c r="V20" s="13"/>
    </row>
    <row r="21" spans="1:22" x14ac:dyDescent="0.35">
      <c r="A21" s="13"/>
      <c r="B21" s="13"/>
      <c r="C21" s="13"/>
      <c r="D21" s="19"/>
      <c r="E21" s="19"/>
      <c r="F21" s="19"/>
      <c r="G21" s="13"/>
      <c r="H21" s="19"/>
      <c r="I21" s="19"/>
      <c r="J21" s="19"/>
      <c r="K21" s="13"/>
      <c r="L21" s="19"/>
      <c r="M21" s="19"/>
      <c r="N21" s="19"/>
      <c r="O21" s="13"/>
      <c r="P21" s="13"/>
      <c r="Q21" s="13"/>
      <c r="R21" s="13"/>
      <c r="S21" s="13"/>
      <c r="T21" s="13"/>
      <c r="U21" s="13"/>
      <c r="V21" s="13"/>
    </row>
    <row r="22" spans="1:22" ht="8.35" customHeight="1" x14ac:dyDescent="0.3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8.35" customHeight="1" x14ac:dyDescent="0.3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8.35" customHeight="1" x14ac:dyDescent="0.3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8.35" customHeight="1" x14ac:dyDescent="0.35">
      <c r="A25" s="13"/>
      <c r="B25" s="13"/>
      <c r="C25" s="1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3"/>
      <c r="P25" s="13"/>
      <c r="Q25" s="13"/>
      <c r="R25" s="13"/>
      <c r="S25" s="13"/>
      <c r="T25" s="13"/>
      <c r="U25" s="13"/>
      <c r="V25" s="13"/>
    </row>
    <row r="26" spans="1:22" ht="14.25" customHeight="1" x14ac:dyDescent="0.35">
      <c r="A26" s="13"/>
      <c r="B26" s="13"/>
      <c r="C26" s="13"/>
      <c r="D26" s="13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3"/>
      <c r="P26" s="13"/>
      <c r="Q26" s="13"/>
      <c r="R26" s="13"/>
      <c r="S26" s="13"/>
      <c r="T26" s="13"/>
      <c r="U26" s="13"/>
      <c r="V26" s="13"/>
    </row>
    <row r="27" spans="1:22" ht="22.5" customHeight="1" x14ac:dyDescent="0.3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9.899999999999999" customHeight="1" x14ac:dyDescent="0.5">
      <c r="A28" s="13"/>
      <c r="B28" s="13"/>
      <c r="C28" s="13"/>
      <c r="D28" s="103" t="s">
        <v>311</v>
      </c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3"/>
      <c r="P28" s="13"/>
      <c r="Q28" s="13"/>
      <c r="R28" s="13"/>
      <c r="S28" s="13"/>
      <c r="T28" s="13"/>
      <c r="U28" s="13"/>
      <c r="V28" s="13"/>
    </row>
    <row r="29" spans="1:22" x14ac:dyDescent="0.35">
      <c r="A29" s="13"/>
      <c r="B29" s="13"/>
      <c r="C29" s="13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3"/>
      <c r="P29" s="13"/>
      <c r="Q29" s="13"/>
      <c r="R29" s="13"/>
      <c r="S29" s="13"/>
      <c r="T29" s="13"/>
      <c r="U29" s="13"/>
      <c r="V29" s="13"/>
    </row>
    <row r="30" spans="1:22" x14ac:dyDescent="0.35">
      <c r="A30" s="13"/>
      <c r="B30" s="13"/>
      <c r="C30" s="13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3"/>
      <c r="P30" s="13"/>
      <c r="Q30" s="13"/>
      <c r="R30" s="13"/>
      <c r="S30" s="13"/>
      <c r="T30" s="13"/>
      <c r="U30" s="13"/>
      <c r="V30" s="13"/>
    </row>
    <row r="31" spans="1:22" x14ac:dyDescent="0.35">
      <c r="A31" s="13"/>
      <c r="B31" s="13"/>
      <c r="C31" s="13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3"/>
      <c r="P31" s="13"/>
      <c r="Q31" s="13"/>
      <c r="R31" s="13"/>
      <c r="S31" s="13"/>
      <c r="T31" s="13"/>
      <c r="U31" s="13"/>
      <c r="V31" s="13"/>
    </row>
    <row r="32" spans="1:22" x14ac:dyDescent="0.35">
      <c r="A32" s="13"/>
      <c r="B32" s="13"/>
      <c r="C32" s="13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3"/>
      <c r="P32" s="13"/>
      <c r="Q32" s="13"/>
      <c r="R32" s="13"/>
      <c r="S32" s="13"/>
      <c r="T32" s="13"/>
      <c r="U32" s="13"/>
      <c r="V32" s="13"/>
    </row>
    <row r="33" spans="1:22" x14ac:dyDescent="0.35">
      <c r="A33" s="13"/>
      <c r="B33" s="13"/>
      <c r="C33" s="13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3"/>
      <c r="P33" s="13"/>
      <c r="Q33" s="13"/>
      <c r="R33" s="13"/>
      <c r="S33" s="13"/>
      <c r="T33" s="13"/>
      <c r="U33" s="13"/>
      <c r="V33" s="13"/>
    </row>
    <row r="34" spans="1:22" x14ac:dyDescent="0.35">
      <c r="A34" s="13"/>
      <c r="B34" s="13"/>
      <c r="C34" s="13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3"/>
      <c r="P34" s="13"/>
      <c r="Q34" s="13"/>
      <c r="R34" s="13"/>
      <c r="S34" s="13"/>
      <c r="T34" s="13"/>
      <c r="U34" s="13"/>
      <c r="V34" s="13"/>
    </row>
    <row r="35" spans="1:22" x14ac:dyDescent="0.35">
      <c r="A35" s="13"/>
      <c r="B35" s="13"/>
      <c r="C35" s="13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3"/>
      <c r="P35" s="13"/>
      <c r="Q35" s="13"/>
      <c r="R35" s="13"/>
      <c r="S35" s="13"/>
      <c r="T35" s="13"/>
      <c r="U35" s="13"/>
      <c r="V35" s="13"/>
    </row>
    <row r="36" spans="1:22" x14ac:dyDescent="0.35">
      <c r="A36" s="13"/>
      <c r="B36" s="13"/>
      <c r="C36" s="13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3"/>
      <c r="P36" s="13"/>
      <c r="Q36" s="13"/>
      <c r="R36" s="13"/>
      <c r="S36" s="13"/>
      <c r="T36" s="13"/>
      <c r="U36" s="13"/>
      <c r="V36" s="13"/>
    </row>
    <row r="37" spans="1:22" x14ac:dyDescent="0.35">
      <c r="A37" s="13"/>
      <c r="B37" s="13"/>
      <c r="C37" s="13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3"/>
      <c r="P37" s="13"/>
      <c r="Q37" s="13"/>
      <c r="R37" s="13"/>
      <c r="S37" s="13"/>
      <c r="T37" s="13"/>
      <c r="U37" s="13"/>
      <c r="V37" s="13"/>
    </row>
    <row r="38" spans="1:22" x14ac:dyDescent="0.35">
      <c r="A38" s="13"/>
      <c r="B38" s="13"/>
      <c r="C38" s="13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3"/>
      <c r="P38" s="13"/>
      <c r="Q38" s="13"/>
      <c r="R38" s="13"/>
      <c r="S38" s="13"/>
      <c r="T38" s="13"/>
      <c r="U38" s="13"/>
      <c r="V38" s="13"/>
    </row>
    <row r="39" spans="1:22" x14ac:dyDescent="0.35">
      <c r="A39" s="13"/>
      <c r="B39" s="13"/>
      <c r="C39" s="13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3"/>
      <c r="P39" s="13"/>
      <c r="Q39" s="13"/>
      <c r="R39" s="13"/>
      <c r="S39" s="13"/>
      <c r="T39" s="13"/>
      <c r="U39" s="13"/>
      <c r="V39" s="13"/>
    </row>
    <row r="40" spans="1:22" x14ac:dyDescent="0.35">
      <c r="A40" s="13"/>
      <c r="B40" s="13"/>
      <c r="C40" s="13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3"/>
      <c r="P40" s="13"/>
      <c r="Q40" s="13"/>
      <c r="R40" s="13"/>
      <c r="S40" s="13"/>
      <c r="T40" s="13"/>
      <c r="U40" s="13"/>
      <c r="V40" s="13"/>
    </row>
    <row r="41" spans="1:22" x14ac:dyDescent="0.35">
      <c r="A41" s="13"/>
      <c r="B41" s="13"/>
      <c r="C41" s="13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3"/>
      <c r="P41" s="13"/>
      <c r="Q41" s="13"/>
      <c r="R41" s="13"/>
      <c r="S41" s="13"/>
      <c r="T41" s="13"/>
      <c r="U41" s="13"/>
      <c r="V41" s="13"/>
    </row>
    <row r="42" spans="1:22" x14ac:dyDescent="0.35">
      <c r="A42" s="13"/>
      <c r="B42" s="13"/>
      <c r="C42" s="13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3"/>
      <c r="P42" s="13"/>
      <c r="Q42" s="13"/>
      <c r="R42" s="13"/>
      <c r="S42" s="13"/>
      <c r="T42" s="13"/>
      <c r="U42" s="13"/>
      <c r="V42" s="13"/>
    </row>
    <row r="43" spans="1:22" x14ac:dyDescent="0.35">
      <c r="A43" s="13"/>
      <c r="B43" s="13"/>
      <c r="C43" s="1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3"/>
      <c r="P43" s="13"/>
      <c r="Q43" s="13"/>
      <c r="R43" s="13"/>
      <c r="S43" s="13"/>
      <c r="T43" s="13"/>
      <c r="U43" s="13"/>
      <c r="V43" s="13"/>
    </row>
    <row r="44" spans="1:22" x14ac:dyDescent="0.35">
      <c r="A44" s="13"/>
      <c r="B44" s="13"/>
      <c r="C44" s="13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3"/>
      <c r="P44" s="13"/>
      <c r="Q44" s="13"/>
      <c r="R44" s="13"/>
      <c r="S44" s="13"/>
      <c r="T44" s="13"/>
      <c r="U44" s="13"/>
      <c r="V44" s="13"/>
    </row>
    <row r="45" spans="1:22" x14ac:dyDescent="0.35">
      <c r="A45" s="13"/>
      <c r="B45" s="13"/>
      <c r="C45" s="13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3"/>
      <c r="P45" s="13"/>
      <c r="Q45" s="13"/>
      <c r="R45" s="13"/>
      <c r="S45" s="13"/>
      <c r="T45" s="13"/>
      <c r="U45" s="13"/>
      <c r="V45" s="13"/>
    </row>
    <row r="46" spans="1:22" x14ac:dyDescent="0.3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hidden="1" x14ac:dyDescent="0.3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hidden="1" x14ac:dyDescent="0.3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hidden="1" x14ac:dyDescent="0.3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</row>
    <row r="51" spans="1:22" hidden="1" x14ac:dyDescent="0.3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hidden="1" x14ac:dyDescent="0.3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hidden="1" x14ac:dyDescent="0.3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hidden="1" x14ac:dyDescent="0.3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hidden="1" x14ac:dyDescent="0.3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hidden="1" x14ac:dyDescent="0.3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hidden="1" x14ac:dyDescent="0.3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390525</xdr:colOff>
                    <xdr:row>14</xdr:row>
                    <xdr:rowOff>100013</xdr:rowOff>
                  </from>
                  <to>
                    <xdr:col>9</xdr:col>
                    <xdr:colOff>476250</xdr:colOff>
                    <xdr:row>17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385763</xdr:colOff>
                    <xdr:row>17</xdr:row>
                    <xdr:rowOff>147638</xdr:rowOff>
                  </from>
                  <to>
                    <xdr:col>9</xdr:col>
                    <xdr:colOff>466725</xdr:colOff>
                    <xdr:row>20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552450</xdr:colOff>
                    <xdr:row>17</xdr:row>
                    <xdr:rowOff>80963</xdr:rowOff>
                  </from>
                  <to>
                    <xdr:col>5</xdr:col>
                    <xdr:colOff>547688</xdr:colOff>
                    <xdr:row>20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oice">
    <tabColor rgb="FFE6834F"/>
  </sheetPr>
  <dimension ref="A1:AW279"/>
  <sheetViews>
    <sheetView showGridLines="0" workbookViewId="0">
      <pane xSplit="3" ySplit="7" topLeftCell="D29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defaultColWidth="8.875" defaultRowHeight="13.5" outlineLevelCol="1" x14ac:dyDescent="0.35"/>
  <cols>
    <col min="1" max="1" width="2.5" style="44" customWidth="1"/>
    <col min="2" max="2" width="19.25" style="44" customWidth="1"/>
    <col min="3" max="3" width="18.125" style="44" customWidth="1"/>
    <col min="4" max="4" width="37.875" style="44" customWidth="1" outlineLevel="1"/>
    <col min="5" max="5" width="38.75" style="44" customWidth="1" outlineLevel="1"/>
    <col min="6" max="6" width="16" style="44" customWidth="1" outlineLevel="1"/>
    <col min="7" max="7" width="14.25" style="44" customWidth="1" outlineLevel="1"/>
    <col min="8" max="8" width="9" style="77" customWidth="1" outlineLevel="1"/>
    <col min="9" max="9" width="19.0625" style="44" bestFit="1" customWidth="1"/>
    <col min="10" max="10" width="22.5625" style="44" bestFit="1" customWidth="1"/>
    <col min="11" max="11" width="15.375" style="78" customWidth="1"/>
    <col min="12" max="12" width="16.6875" style="44" customWidth="1"/>
    <col min="13" max="13" width="13" style="44" customWidth="1"/>
    <col min="14" max="14" width="15.375" style="78" customWidth="1"/>
    <col min="15" max="15" width="16.75" style="44" customWidth="1" outlineLevel="1"/>
    <col min="16" max="16" width="12.375" style="44" customWidth="1" outlineLevel="1"/>
    <col min="17" max="17" width="15.375" style="78" customWidth="1" outlineLevel="1" collapsed="1"/>
    <col min="18" max="18" width="14.25" style="44" customWidth="1"/>
    <col min="19" max="19" width="13.375" style="44" customWidth="1"/>
    <col min="20" max="20" width="13.25" style="44" customWidth="1"/>
    <col min="21" max="21" width="15.25" style="44" customWidth="1"/>
    <col min="22" max="22" width="12.375" style="36" customWidth="1"/>
    <col min="23" max="23" width="16.125" style="44" customWidth="1"/>
    <col min="24" max="27" width="12.375" style="44" customWidth="1"/>
    <col min="28" max="28" width="4.375" style="44" customWidth="1"/>
    <col min="29" max="16384" width="8.875" style="44"/>
  </cols>
  <sheetData>
    <row r="1" spans="1:49" x14ac:dyDescent="0.35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</row>
    <row r="2" spans="1:49" x14ac:dyDescent="0.35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</row>
    <row r="3" spans="1:49" x14ac:dyDescent="0.35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</row>
    <row r="4" spans="1:49" s="47" customFormat="1" ht="34.5" customHeight="1" x14ac:dyDescent="0.35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</row>
    <row r="5" spans="1:49" s="48" customFormat="1" ht="21" customHeight="1" x14ac:dyDescent="0.35">
      <c r="K5" s="49"/>
      <c r="N5" s="49"/>
      <c r="Q5" s="49"/>
      <c r="U5" s="37"/>
    </row>
    <row r="6" spans="1:49" s="48" customFormat="1" ht="18" customHeight="1" x14ac:dyDescent="0.35">
      <c r="K6" s="49"/>
      <c r="N6" s="49"/>
      <c r="Q6" s="49"/>
      <c r="U6" s="37"/>
    </row>
    <row r="7" spans="1:49" s="50" customFormat="1" ht="28.15" thickBot="1" x14ac:dyDescent="0.45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141</v>
      </c>
      <c r="J7" s="51" t="s">
        <v>152</v>
      </c>
      <c r="K7" s="54" t="s">
        <v>153</v>
      </c>
      <c r="L7" s="51" t="s">
        <v>142</v>
      </c>
      <c r="M7" s="51" t="s">
        <v>154</v>
      </c>
      <c r="N7" s="54" t="s">
        <v>155</v>
      </c>
      <c r="O7" s="51" t="s">
        <v>143</v>
      </c>
      <c r="P7" s="51" t="s">
        <v>156</v>
      </c>
      <c r="Q7" s="54" t="s">
        <v>157</v>
      </c>
      <c r="R7" s="51" t="s">
        <v>146</v>
      </c>
      <c r="S7" s="51" t="s">
        <v>4</v>
      </c>
      <c r="T7" s="51" t="s">
        <v>5</v>
      </c>
      <c r="U7" s="54" t="s">
        <v>144</v>
      </c>
      <c r="V7" s="51" t="s">
        <v>1</v>
      </c>
      <c r="W7" s="51" t="s">
        <v>145</v>
      </c>
      <c r="X7" s="51" t="s">
        <v>147</v>
      </c>
      <c r="Y7" s="51" t="s">
        <v>151</v>
      </c>
      <c r="Z7" s="51" t="s">
        <v>149</v>
      </c>
      <c r="AA7" s="51" t="s">
        <v>150</v>
      </c>
    </row>
    <row r="8" spans="1:49" x14ac:dyDescent="0.35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98">
        <v>0.2</v>
      </c>
      <c r="I8" s="34" t="s">
        <v>218</v>
      </c>
      <c r="J8" s="35" t="s">
        <v>202</v>
      </c>
      <c r="K8" s="36">
        <v>3500</v>
      </c>
      <c r="L8" s="34"/>
      <c r="M8" s="34"/>
      <c r="N8" s="36"/>
      <c r="O8" s="34"/>
      <c r="P8" s="34"/>
      <c r="Q8" s="36"/>
      <c r="R8" s="12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93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148</v>
      </c>
      <c r="Z8" s="61">
        <v>42819</v>
      </c>
      <c r="AA8" s="57">
        <f>InvoiceTable[[#This Row],[Net Amount]]*InvoiceTable[[#This Row],[VAT]]</f>
        <v>756.36000000000013</v>
      </c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9" x14ac:dyDescent="0.35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98">
        <v>0</v>
      </c>
      <c r="I9" s="34" t="s">
        <v>219</v>
      </c>
      <c r="J9" s="35" t="s">
        <v>203</v>
      </c>
      <c r="K9" s="36">
        <v>3500</v>
      </c>
      <c r="L9" s="34"/>
      <c r="M9" s="34"/>
      <c r="N9" s="36"/>
      <c r="O9" s="34"/>
      <c r="P9" s="34"/>
      <c r="Q9" s="36"/>
      <c r="R9" s="12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93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148</v>
      </c>
      <c r="Z9" s="61">
        <v>42819</v>
      </c>
      <c r="AA9" s="57">
        <f>InvoiceTable[[#This Row],[Net Amount]]*InvoiceTable[[#This Row],[VAT]]</f>
        <v>0</v>
      </c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9" x14ac:dyDescent="0.35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99">
        <v>0</v>
      </c>
      <c r="I10" s="34" t="s">
        <v>221</v>
      </c>
      <c r="J10" s="35" t="s">
        <v>204</v>
      </c>
      <c r="K10" s="36">
        <v>840</v>
      </c>
      <c r="L10" s="34"/>
      <c r="M10" s="34"/>
      <c r="N10" s="36"/>
      <c r="O10" s="34"/>
      <c r="P10" s="34"/>
      <c r="Q10" s="36"/>
      <c r="R10" s="12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93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148</v>
      </c>
      <c r="Z10" s="61">
        <v>42833</v>
      </c>
      <c r="AA10" s="57">
        <f>InvoiceTable[[#This Row],[Net Amount]]*InvoiceTable[[#This Row],[VAT]]</f>
        <v>0</v>
      </c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9" x14ac:dyDescent="0.35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98">
        <v>0.2</v>
      </c>
      <c r="I11" s="34" t="s">
        <v>222</v>
      </c>
      <c r="J11" s="35" t="s">
        <v>205</v>
      </c>
      <c r="K11" s="36">
        <v>4500</v>
      </c>
      <c r="L11" s="34"/>
      <c r="M11" s="34"/>
      <c r="N11" s="36"/>
      <c r="O11" s="34"/>
      <c r="P11" s="34"/>
      <c r="Q11" s="36"/>
      <c r="R11" s="12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93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148</v>
      </c>
      <c r="Z11" s="61">
        <v>42833</v>
      </c>
      <c r="AA11" s="57">
        <f>InvoiceTable[[#This Row],[Net Amount]]*InvoiceTable[[#This Row],[VAT]]</f>
        <v>900</v>
      </c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9" x14ac:dyDescent="0.35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98">
        <v>0.2</v>
      </c>
      <c r="I12" s="34" t="s">
        <v>223</v>
      </c>
      <c r="J12" s="35" t="s">
        <v>206</v>
      </c>
      <c r="K12" s="36">
        <v>2100</v>
      </c>
      <c r="L12" s="34"/>
      <c r="M12" s="34"/>
      <c r="N12" s="36"/>
      <c r="O12" s="34"/>
      <c r="P12" s="34"/>
      <c r="Q12" s="36"/>
      <c r="R12" s="12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93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148</v>
      </c>
      <c r="Z12" s="61">
        <v>42845</v>
      </c>
      <c r="AA12" s="57">
        <f>InvoiceTable[[#This Row],[Net Amount]]*InvoiceTable[[#This Row],[VAT]]</f>
        <v>420</v>
      </c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9" x14ac:dyDescent="0.35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98">
        <v>0</v>
      </c>
      <c r="I13" s="34" t="s">
        <v>224</v>
      </c>
      <c r="J13" s="35" t="s">
        <v>207</v>
      </c>
      <c r="K13" s="36">
        <v>3750</v>
      </c>
      <c r="L13" s="34"/>
      <c r="M13" s="34"/>
      <c r="N13" s="36"/>
      <c r="O13" s="34"/>
      <c r="P13" s="34"/>
      <c r="Q13" s="36"/>
      <c r="R13" s="12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93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148</v>
      </c>
      <c r="Z13" s="61">
        <v>42845</v>
      </c>
      <c r="AA13" s="57">
        <f>InvoiceTable[[#This Row],[Net Amount]]*InvoiceTable[[#This Row],[VAT]]</f>
        <v>0</v>
      </c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9" x14ac:dyDescent="0.35">
      <c r="B14" s="63" t="s">
        <v>159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100">
        <v>0</v>
      </c>
      <c r="I14" s="34" t="s">
        <v>225</v>
      </c>
      <c r="J14" s="35" t="s">
        <v>208</v>
      </c>
      <c r="K14" s="36">
        <v>5500</v>
      </c>
      <c r="L14" s="34"/>
      <c r="M14" s="34"/>
      <c r="N14" s="36"/>
      <c r="O14" s="34"/>
      <c r="P14" s="34"/>
      <c r="Q14" s="36"/>
      <c r="R14" s="12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93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148</v>
      </c>
      <c r="Z14" s="61">
        <v>42845</v>
      </c>
      <c r="AA14" s="57">
        <f>InvoiceTable[[#This Row],[Net Amount]]*InvoiceTable[[#This Row],[VAT]]</f>
        <v>0</v>
      </c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9" x14ac:dyDescent="0.35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100">
        <v>0.2</v>
      </c>
      <c r="I15" s="34" t="s">
        <v>220</v>
      </c>
      <c r="J15" s="35" t="s">
        <v>209</v>
      </c>
      <c r="K15" s="36">
        <v>2000</v>
      </c>
      <c r="L15" s="34"/>
      <c r="M15" s="34"/>
      <c r="N15" s="36"/>
      <c r="O15" s="34"/>
      <c r="P15" s="34"/>
      <c r="Q15" s="36"/>
      <c r="R15" s="12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93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148</v>
      </c>
      <c r="Z15" s="61">
        <v>42848</v>
      </c>
      <c r="AA15" s="57">
        <f>InvoiceTable[[#This Row],[Net Amount]]*InvoiceTable[[#This Row],[VAT]]</f>
        <v>547.64200000000005</v>
      </c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9" x14ac:dyDescent="0.35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100">
        <v>0</v>
      </c>
      <c r="I16" s="34" t="s">
        <v>226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2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93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148</v>
      </c>
      <c r="Z16" s="61">
        <v>42863</v>
      </c>
      <c r="AA16" s="57">
        <f>InvoiceTable[[#This Row],[Net Amount]]*InvoiceTable[[#This Row],[VAT]]</f>
        <v>0</v>
      </c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x14ac:dyDescent="0.35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99">
        <v>0</v>
      </c>
      <c r="I17" s="34" t="s">
        <v>227</v>
      </c>
      <c r="J17" s="35" t="s">
        <v>210</v>
      </c>
      <c r="K17" s="36">
        <v>1680</v>
      </c>
      <c r="L17" s="34"/>
      <c r="M17" s="34"/>
      <c r="N17" s="36"/>
      <c r="O17" s="34"/>
      <c r="P17" s="34"/>
      <c r="Q17" s="36"/>
      <c r="R17" s="12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93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148</v>
      </c>
      <c r="Z17" s="61">
        <v>42866</v>
      </c>
      <c r="AA17" s="57">
        <f>InvoiceTable[[#This Row],[Net Amount]]*InvoiceTable[[#This Row],[VAT]]</f>
        <v>0</v>
      </c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s="55" customFormat="1" x14ac:dyDescent="0.35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99">
        <v>0</v>
      </c>
      <c r="I18" s="34" t="s">
        <v>228</v>
      </c>
      <c r="J18" s="35" t="s">
        <v>211</v>
      </c>
      <c r="K18" s="37">
        <v>1680</v>
      </c>
      <c r="L18" s="38"/>
      <c r="M18" s="38"/>
      <c r="N18" s="37"/>
      <c r="O18" s="38"/>
      <c r="P18" s="38"/>
      <c r="Q18" s="37"/>
      <c r="R18" s="12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93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148</v>
      </c>
      <c r="Z18" s="72">
        <v>42870</v>
      </c>
      <c r="AA18" s="73">
        <f>InvoiceTable[[#This Row],[Net Amount]]*InvoiceTable[[#This Row],[VAT]]</f>
        <v>0</v>
      </c>
      <c r="AB18" s="48"/>
      <c r="AC18" s="48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</row>
    <row r="19" spans="1:49" s="55" customFormat="1" x14ac:dyDescent="0.35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100">
        <v>0</v>
      </c>
      <c r="I19" s="34" t="s">
        <v>229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2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93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148</v>
      </c>
      <c r="Z19" s="72">
        <v>42895</v>
      </c>
      <c r="AA19" s="73">
        <f>InvoiceTable[[#This Row],[Net Amount]]*InvoiceTable[[#This Row],[VAT]]</f>
        <v>0</v>
      </c>
      <c r="AB19" s="48"/>
      <c r="AC19" s="48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</row>
    <row r="20" spans="1:49" s="55" customFormat="1" x14ac:dyDescent="0.35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100">
        <v>0</v>
      </c>
      <c r="I20" s="34" t="s">
        <v>230</v>
      </c>
      <c r="J20" s="35" t="s">
        <v>212</v>
      </c>
      <c r="K20" s="37">
        <v>4000</v>
      </c>
      <c r="L20" s="38"/>
      <c r="M20" s="38"/>
      <c r="N20" s="37"/>
      <c r="O20" s="38"/>
      <c r="P20" s="38"/>
      <c r="Q20" s="37"/>
      <c r="R20" s="12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93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148</v>
      </c>
      <c r="Z20" s="72">
        <v>42908</v>
      </c>
      <c r="AA20" s="73">
        <f>InvoiceTable[[#This Row],[Net Amount]]*InvoiceTable[[#This Row],[VAT]]</f>
        <v>0</v>
      </c>
      <c r="AB20" s="48"/>
      <c r="AC20" s="48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</row>
    <row r="21" spans="1:49" s="55" customFormat="1" x14ac:dyDescent="0.35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100">
        <v>0</v>
      </c>
      <c r="I21" s="34" t="s">
        <v>231</v>
      </c>
      <c r="J21" s="35" t="s">
        <v>213</v>
      </c>
      <c r="K21" s="37">
        <v>3000</v>
      </c>
      <c r="L21" s="38"/>
      <c r="M21" s="38"/>
      <c r="N21" s="37"/>
      <c r="O21" s="38"/>
      <c r="P21" s="38"/>
      <c r="Q21" s="37"/>
      <c r="R21" s="12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93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148</v>
      </c>
      <c r="Z21" s="72">
        <v>42937</v>
      </c>
      <c r="AA21" s="73">
        <f>InvoiceTable[[#This Row],[Net Amount]]*InvoiceTable[[#This Row],[VAT]]</f>
        <v>0</v>
      </c>
      <c r="AB21" s="48"/>
      <c r="AC21" s="48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</row>
    <row r="22" spans="1:49" s="55" customFormat="1" x14ac:dyDescent="0.35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99">
        <v>0</v>
      </c>
      <c r="I22" s="34" t="s">
        <v>232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2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93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148</v>
      </c>
      <c r="Z22" s="72">
        <v>42964</v>
      </c>
      <c r="AA22" s="73">
        <f>InvoiceTable[[#This Row],[Net Amount]]*InvoiceTable[[#This Row],[VAT]]</f>
        <v>0</v>
      </c>
      <c r="AB22" s="48"/>
      <c r="AC22" s="48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</row>
    <row r="23" spans="1:49" s="55" customFormat="1" x14ac:dyDescent="0.35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100">
        <v>0</v>
      </c>
      <c r="I23" s="34" t="s">
        <v>233</v>
      </c>
      <c r="J23" s="39" t="s">
        <v>214</v>
      </c>
      <c r="K23" s="37">
        <v>3060</v>
      </c>
      <c r="L23" s="38"/>
      <c r="M23" s="38"/>
      <c r="N23" s="37"/>
      <c r="O23" s="38"/>
      <c r="P23" s="38"/>
      <c r="Q23" s="37"/>
      <c r="R23" s="12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93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148</v>
      </c>
      <c r="Z23" s="72">
        <v>42999</v>
      </c>
      <c r="AA23" s="73">
        <f>InvoiceTable[[#This Row],[Net Amount]]*InvoiceTable[[#This Row],[VAT]]</f>
        <v>0</v>
      </c>
      <c r="AB23" s="48"/>
      <c r="AC23" s="48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</row>
    <row r="24" spans="1:49" s="55" customFormat="1" x14ac:dyDescent="0.35">
      <c r="A24" s="48"/>
      <c r="B24" s="63" t="s">
        <v>122</v>
      </c>
      <c r="C24" s="64" t="s">
        <v>175</v>
      </c>
      <c r="D24" s="65" t="s">
        <v>31</v>
      </c>
      <c r="E24" s="65" t="s">
        <v>33</v>
      </c>
      <c r="F24" s="65" t="s">
        <v>32</v>
      </c>
      <c r="G24" s="65"/>
      <c r="H24" s="100">
        <v>0</v>
      </c>
      <c r="I24" s="34" t="s">
        <v>234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2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93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148</v>
      </c>
      <c r="Z24" s="72">
        <v>43010</v>
      </c>
      <c r="AA24" s="73">
        <f>InvoiceTable[[#This Row],[Net Amount]]*InvoiceTable[[#This Row],[VAT]]</f>
        <v>0</v>
      </c>
      <c r="AB24" s="48"/>
      <c r="AC24" s="48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</row>
    <row r="25" spans="1:49" s="55" customFormat="1" x14ac:dyDescent="0.35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100">
        <v>0</v>
      </c>
      <c r="I25" s="34" t="s">
        <v>235</v>
      </c>
      <c r="J25" s="39" t="s">
        <v>215</v>
      </c>
      <c r="K25" s="37">
        <v>4000</v>
      </c>
      <c r="L25" s="38"/>
      <c r="M25" s="38"/>
      <c r="N25" s="37"/>
      <c r="O25" s="38"/>
      <c r="P25" s="38"/>
      <c r="Q25" s="37"/>
      <c r="R25" s="12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93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148</v>
      </c>
      <c r="Z25" s="72">
        <v>43035</v>
      </c>
      <c r="AA25" s="73">
        <f>InvoiceTable[[#This Row],[Net Amount]]*InvoiceTable[[#This Row],[VAT]]</f>
        <v>0</v>
      </c>
      <c r="AB25" s="48"/>
      <c r="AC25" s="48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</row>
    <row r="26" spans="1:49" x14ac:dyDescent="0.35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99">
        <v>0</v>
      </c>
      <c r="I26" s="34" t="s">
        <v>236</v>
      </c>
      <c r="J26" s="35" t="s">
        <v>216</v>
      </c>
      <c r="K26" s="36">
        <v>840</v>
      </c>
      <c r="L26" s="34"/>
      <c r="M26" s="34"/>
      <c r="N26" s="36"/>
      <c r="O26" s="34"/>
      <c r="P26" s="34"/>
      <c r="Q26" s="36"/>
      <c r="R26" s="12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93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148</v>
      </c>
      <c r="Z26" s="61">
        <v>43092</v>
      </c>
      <c r="AA26" s="57">
        <f>InvoiceTable[[#This Row],[Net Amount]]*InvoiceTable[[#This Row],[VAT]]</f>
        <v>0</v>
      </c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x14ac:dyDescent="0.35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99">
        <v>0</v>
      </c>
      <c r="I27" s="34" t="s">
        <v>237</v>
      </c>
      <c r="J27" s="35" t="s">
        <v>217</v>
      </c>
      <c r="K27" s="36">
        <v>3600</v>
      </c>
      <c r="L27" s="34"/>
      <c r="M27" s="34"/>
      <c r="N27" s="36"/>
      <c r="O27" s="34"/>
      <c r="P27" s="34"/>
      <c r="Q27" s="36"/>
      <c r="R27" s="12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93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148</v>
      </c>
      <c r="Z27" s="61">
        <v>43083</v>
      </c>
      <c r="AA27" s="57">
        <f>InvoiceTable[[#This Row],[Net Amount]]*InvoiceTable[[#This Row],[VAT]]</f>
        <v>0</v>
      </c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x14ac:dyDescent="0.35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99">
        <v>0</v>
      </c>
      <c r="I28" s="34" t="s">
        <v>238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2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93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148</v>
      </c>
      <c r="Z28" s="61">
        <v>43118</v>
      </c>
      <c r="AA28" s="57">
        <f>InvoiceTable[[#This Row],[Net Amount]]*InvoiceTable[[#This Row],[VAT]]</f>
        <v>0</v>
      </c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x14ac:dyDescent="0.35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99">
        <v>0</v>
      </c>
      <c r="I29" s="34" t="s">
        <v>239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2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93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148</v>
      </c>
      <c r="Z29" s="61">
        <v>43113</v>
      </c>
      <c r="AA29" s="57">
        <f>InvoiceTable[[#This Row],[Net Amount]]*InvoiceTable[[#This Row],[VAT]]</f>
        <v>0</v>
      </c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x14ac:dyDescent="0.35">
      <c r="B30" s="34" t="s">
        <v>48</v>
      </c>
      <c r="C30" s="34" t="s">
        <v>86</v>
      </c>
      <c r="D30" s="68" t="s">
        <v>39</v>
      </c>
      <c r="E30" s="68" t="s">
        <v>41</v>
      </c>
      <c r="F30" s="68" t="s">
        <v>40</v>
      </c>
      <c r="G30" s="68"/>
      <c r="H30" s="99">
        <v>0</v>
      </c>
      <c r="I30" s="34" t="s">
        <v>238</v>
      </c>
      <c r="J30" s="35">
        <v>42880</v>
      </c>
      <c r="K30" s="36">
        <v>1800</v>
      </c>
      <c r="L30" s="34"/>
      <c r="M30" s="34"/>
      <c r="N30" s="36"/>
      <c r="O30" s="34"/>
      <c r="P30" s="34"/>
      <c r="Q30" s="36"/>
      <c r="R30" s="12">
        <f>InvoiceTable[[#This Row],[Amount Line 1]]+InvoiceTable[[#This Row],[Amount Line 2]]+InvoiceTable[[#This Row],[Amount Line 3]]</f>
        <v>1800</v>
      </c>
      <c r="S30" s="58"/>
      <c r="T30" s="57">
        <f>InvoiceTable[[#This Row],[Agreed Amount Total]]+InvoiceTable[[#This Row],[Additional Expenses]]</f>
        <v>1800</v>
      </c>
      <c r="U30" s="57">
        <f>InvoiceTable[[#This Row],[Net Amount]]+InvoiceTable[[#This Row],[VAT to Pay]]</f>
        <v>1800</v>
      </c>
      <c r="V30" s="93">
        <v>15064</v>
      </c>
      <c r="W30" s="59">
        <v>43112</v>
      </c>
      <c r="X30" s="60">
        <f>IF(InvoiceTable[[#This Row],[Invoice Date]]="","",WORKDAY(InvoiceTable[[#This Row],[Invoice Date]],14))</f>
        <v>43132</v>
      </c>
      <c r="Y30" s="34" t="s">
        <v>148</v>
      </c>
      <c r="Z30" s="61">
        <v>43132</v>
      </c>
      <c r="AA30" s="57">
        <f>InvoiceTable[[#This Row],[Net Amount]]*InvoiceTable[[#This Row],[VAT]]</f>
        <v>0</v>
      </c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x14ac:dyDescent="0.35">
      <c r="B31" s="44" t="s">
        <v>44</v>
      </c>
      <c r="C31" s="62" t="s">
        <v>10</v>
      </c>
      <c r="D31" s="56" t="s">
        <v>25</v>
      </c>
      <c r="E31" s="56" t="s">
        <v>26</v>
      </c>
      <c r="F31" s="56" t="s">
        <v>27</v>
      </c>
      <c r="G31" s="56"/>
      <c r="H31" s="99">
        <v>0</v>
      </c>
      <c r="I31" s="34" t="s">
        <v>238</v>
      </c>
      <c r="J31" s="35">
        <v>42900</v>
      </c>
      <c r="K31" s="36">
        <v>9900</v>
      </c>
      <c r="L31" s="34"/>
      <c r="M31" s="34"/>
      <c r="N31" s="36"/>
      <c r="O31" s="34"/>
      <c r="P31" s="34"/>
      <c r="Q31" s="36"/>
      <c r="R31" s="12">
        <f>InvoiceTable[[#This Row],[Amount Line 1]]+InvoiceTable[[#This Row],[Amount Line 2]]+InvoiceTable[[#This Row],[Amount Line 3]]</f>
        <v>9900</v>
      </c>
      <c r="S31" s="58"/>
      <c r="T31" s="57">
        <f>InvoiceTable[[#This Row],[Agreed Amount Total]]+InvoiceTable[[#This Row],[Additional Expenses]]</f>
        <v>9900</v>
      </c>
      <c r="U31" s="57">
        <f>InvoiceTable[[#This Row],[Net Amount]]+InvoiceTable[[#This Row],[VAT to Pay]]</f>
        <v>9900</v>
      </c>
      <c r="V31" s="93">
        <v>15065</v>
      </c>
      <c r="W31" s="59">
        <v>43133</v>
      </c>
      <c r="X31" s="60">
        <f>IF(InvoiceTable[[#This Row],[Invoice Date]]="","",WORKDAY(InvoiceTable[[#This Row],[Invoice Date]],14))</f>
        <v>43153</v>
      </c>
      <c r="Y31" s="34" t="s">
        <v>148</v>
      </c>
      <c r="Z31" s="61">
        <v>43151</v>
      </c>
      <c r="AA31" s="57">
        <f>InvoiceTable[[#This Row],[Net Amount]]*InvoiceTable[[#This Row],[VAT]]</f>
        <v>0</v>
      </c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x14ac:dyDescent="0.35">
      <c r="B32" s="44" t="s">
        <v>63</v>
      </c>
      <c r="C32" s="47" t="s">
        <v>80</v>
      </c>
      <c r="D32" s="56" t="s">
        <v>60</v>
      </c>
      <c r="E32" s="56" t="s">
        <v>61</v>
      </c>
      <c r="F32" s="56" t="s">
        <v>57</v>
      </c>
      <c r="G32" s="56" t="s">
        <v>111</v>
      </c>
      <c r="H32" s="98">
        <v>0.2</v>
      </c>
      <c r="I32" s="34" t="s">
        <v>238</v>
      </c>
      <c r="J32" s="35">
        <v>42900</v>
      </c>
      <c r="K32" s="36">
        <v>4500</v>
      </c>
      <c r="L32" s="34"/>
      <c r="M32" s="34"/>
      <c r="N32" s="36"/>
      <c r="O32" s="34"/>
      <c r="P32" s="34"/>
      <c r="Q32" s="36"/>
      <c r="R32" s="12">
        <f>InvoiceTable[[#This Row],[Amount Line 1]]+InvoiceTable[[#This Row],[Amount Line 2]]+InvoiceTable[[#This Row],[Amount Line 3]]</f>
        <v>4500</v>
      </c>
      <c r="S32" s="58"/>
      <c r="T32" s="57">
        <f>InvoiceTable[[#This Row],[Agreed Amount Total]]+InvoiceTable[[#This Row],[Additional Expenses]]</f>
        <v>4500</v>
      </c>
      <c r="U32" s="57">
        <f>InvoiceTable[[#This Row],[Net Amount]]+InvoiceTable[[#This Row],[VAT to Pay]]</f>
        <v>5400</v>
      </c>
      <c r="V32" s="93">
        <v>15066</v>
      </c>
      <c r="W32" s="59">
        <v>43133</v>
      </c>
      <c r="X32" s="60">
        <f>IF(InvoiceTable[[#This Row],[Invoice Date]]="","",WORKDAY(InvoiceTable[[#This Row],[Invoice Date]],14))</f>
        <v>43153</v>
      </c>
      <c r="Y32" s="34" t="s">
        <v>148</v>
      </c>
      <c r="Z32" s="61">
        <v>43159</v>
      </c>
      <c r="AA32" s="57">
        <f>InvoiceTable[[#This Row],[Net Amount]]*InvoiceTable[[#This Row],[VAT]]</f>
        <v>900</v>
      </c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2:49" x14ac:dyDescent="0.35">
      <c r="B33" s="44" t="s">
        <v>65</v>
      </c>
      <c r="C33" s="47" t="s">
        <v>82</v>
      </c>
      <c r="D33" s="56" t="s">
        <v>60</v>
      </c>
      <c r="E33" s="56" t="s">
        <v>61</v>
      </c>
      <c r="F33" s="56" t="s">
        <v>57</v>
      </c>
      <c r="G33" s="56" t="s">
        <v>108</v>
      </c>
      <c r="H33" s="98">
        <v>0.2</v>
      </c>
      <c r="I33" s="34" t="s">
        <v>238</v>
      </c>
      <c r="J33" s="35">
        <v>42900</v>
      </c>
      <c r="K33" s="36">
        <v>1800</v>
      </c>
      <c r="L33" s="34"/>
      <c r="M33" s="34"/>
      <c r="N33" s="36"/>
      <c r="O33" s="34"/>
      <c r="P33" s="34"/>
      <c r="Q33" s="36"/>
      <c r="R33" s="12">
        <f>InvoiceTable[[#This Row],[Amount Line 1]]+InvoiceTable[[#This Row],[Amount Line 2]]+InvoiceTable[[#This Row],[Amount Line 3]]</f>
        <v>1800</v>
      </c>
      <c r="S33" s="58"/>
      <c r="T33" s="57">
        <f>InvoiceTable[[#This Row],[Agreed Amount Total]]+InvoiceTable[[#This Row],[Additional Expenses]]</f>
        <v>1800</v>
      </c>
      <c r="U33" s="57">
        <f>InvoiceTable[[#This Row],[Net Amount]]+InvoiceTable[[#This Row],[VAT to Pay]]</f>
        <v>2160</v>
      </c>
      <c r="V33" s="93">
        <v>15067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148</v>
      </c>
      <c r="Z33" s="61">
        <v>43151</v>
      </c>
      <c r="AA33" s="57">
        <f>InvoiceTable[[#This Row],[Net Amount]]*InvoiceTable[[#This Row],[VAT]]</f>
        <v>360</v>
      </c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2:49" x14ac:dyDescent="0.35">
      <c r="B34" s="44" t="s">
        <v>122</v>
      </c>
      <c r="C34" s="62" t="s">
        <v>12</v>
      </c>
      <c r="D34" s="56" t="s">
        <v>31</v>
      </c>
      <c r="E34" s="56" t="s">
        <v>33</v>
      </c>
      <c r="F34" s="56" t="s">
        <v>32</v>
      </c>
      <c r="G34" s="56"/>
      <c r="H34" s="98">
        <v>0</v>
      </c>
      <c r="I34" s="34" t="s">
        <v>240</v>
      </c>
      <c r="J34" s="35">
        <v>42901</v>
      </c>
      <c r="K34" s="36">
        <v>800</v>
      </c>
      <c r="L34" s="34"/>
      <c r="M34" s="34"/>
      <c r="N34" s="36"/>
      <c r="O34" s="34"/>
      <c r="P34" s="34"/>
      <c r="Q34" s="36"/>
      <c r="R34" s="12">
        <f>InvoiceTable[[#This Row],[Amount Line 1]]+InvoiceTable[[#This Row],[Amount Line 2]]+InvoiceTable[[#This Row],[Amount Line 3]]</f>
        <v>800</v>
      </c>
      <c r="S34" s="58"/>
      <c r="T34" s="57">
        <f>InvoiceTable[[#This Row],[Agreed Amount Total]]+InvoiceTable[[#This Row],[Additional Expenses]]</f>
        <v>800</v>
      </c>
      <c r="U34" s="57">
        <f>InvoiceTable[[#This Row],[Net Amount]]+InvoiceTable[[#This Row],[VAT to Pay]]</f>
        <v>800</v>
      </c>
      <c r="V34" s="93">
        <v>15068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148</v>
      </c>
      <c r="Z34" s="61">
        <v>43159</v>
      </c>
      <c r="AA34" s="57">
        <f>InvoiceTable[[#This Row],[Net Amount]]*InvoiceTable[[#This Row],[VAT]]</f>
        <v>0</v>
      </c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2:49" x14ac:dyDescent="0.35">
      <c r="B35" s="63" t="s">
        <v>159</v>
      </c>
      <c r="C35" s="64" t="s">
        <v>87</v>
      </c>
      <c r="D35" s="65" t="s">
        <v>22</v>
      </c>
      <c r="E35" s="65" t="s">
        <v>23</v>
      </c>
      <c r="F35" s="65" t="s">
        <v>24</v>
      </c>
      <c r="G35" s="65"/>
      <c r="H35" s="100">
        <v>0</v>
      </c>
      <c r="I35" s="34" t="s">
        <v>240</v>
      </c>
      <c r="J35" s="35">
        <v>42945</v>
      </c>
      <c r="K35" s="36">
        <v>1800</v>
      </c>
      <c r="L35" s="34"/>
      <c r="M35" s="34"/>
      <c r="N35" s="36"/>
      <c r="O35" s="34"/>
      <c r="P35" s="34"/>
      <c r="Q35" s="36"/>
      <c r="R35" s="12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1800</v>
      </c>
      <c r="V35" s="93">
        <v>15069</v>
      </c>
      <c r="W35" s="59">
        <v>43147</v>
      </c>
      <c r="X35" s="60">
        <f>IF(InvoiceTable[[#This Row],[Invoice Date]]="","",WORKDAY(InvoiceTable[[#This Row],[Invoice Date]],14))</f>
        <v>43167</v>
      </c>
      <c r="Y35" s="34" t="s">
        <v>148</v>
      </c>
      <c r="Z35" s="61">
        <v>43161</v>
      </c>
      <c r="AA35" s="57">
        <f>InvoiceTable[[#This Row],[Net Amount]]*InvoiceTable[[#This Row],[VAT]]</f>
        <v>0</v>
      </c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2:49" x14ac:dyDescent="0.35">
      <c r="B36" s="63" t="s">
        <v>124</v>
      </c>
      <c r="C36" s="64" t="s">
        <v>18</v>
      </c>
      <c r="D36" s="65" t="s">
        <v>91</v>
      </c>
      <c r="E36" s="65" t="s">
        <v>92</v>
      </c>
      <c r="F36" s="65" t="s">
        <v>99</v>
      </c>
      <c r="G36" s="65" t="s">
        <v>120</v>
      </c>
      <c r="H36" s="100">
        <v>0.2</v>
      </c>
      <c r="I36" s="34" t="s">
        <v>240</v>
      </c>
      <c r="J36" s="35">
        <v>42957</v>
      </c>
      <c r="K36" s="36">
        <v>1800</v>
      </c>
      <c r="L36" s="34"/>
      <c r="M36" s="34"/>
      <c r="N36" s="36"/>
      <c r="O36" s="34"/>
      <c r="P36" s="34"/>
      <c r="Q36" s="36"/>
      <c r="R36" s="12">
        <f>InvoiceTable[[#This Row],[Amount Line 1]]+InvoiceTable[[#This Row],[Amount Line 2]]+InvoiceTable[[#This Row],[Amount Line 3]]</f>
        <v>1800</v>
      </c>
      <c r="S36" s="58"/>
      <c r="T36" s="57">
        <f>InvoiceTable[[#This Row],[Agreed Amount Total]]+InvoiceTable[[#This Row],[Additional Expenses]]</f>
        <v>1800</v>
      </c>
      <c r="U36" s="57">
        <f>InvoiceTable[[#This Row],[Net Amount]]+InvoiceTable[[#This Row],[VAT to Pay]]</f>
        <v>2160</v>
      </c>
      <c r="V36" s="93">
        <v>15070</v>
      </c>
      <c r="W36" s="59">
        <v>43159</v>
      </c>
      <c r="X36" s="60">
        <f>IF(InvoiceTable[[#This Row],[Invoice Date]]="","",WORKDAY(InvoiceTable[[#This Row],[Invoice Date]],14))</f>
        <v>43179</v>
      </c>
      <c r="Y36" s="34" t="s">
        <v>148</v>
      </c>
      <c r="Z36" s="61">
        <v>43176</v>
      </c>
      <c r="AA36" s="57">
        <f>InvoiceTable[[#This Row],[Net Amount]]*InvoiceTable[[#This Row],[VAT]]</f>
        <v>360</v>
      </c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2:49" x14ac:dyDescent="0.35">
      <c r="B37" s="34" t="s">
        <v>66</v>
      </c>
      <c r="C37" s="34" t="s">
        <v>17</v>
      </c>
      <c r="D37" s="68" t="s">
        <v>55</v>
      </c>
      <c r="E37" s="68" t="s">
        <v>56</v>
      </c>
      <c r="F37" s="68" t="s">
        <v>57</v>
      </c>
      <c r="G37" s="68" t="s">
        <v>109</v>
      </c>
      <c r="H37" s="99">
        <v>0.2</v>
      </c>
      <c r="I37" s="34" t="s">
        <v>240</v>
      </c>
      <c r="J37" s="35">
        <v>42981</v>
      </c>
      <c r="K37" s="36">
        <v>5130</v>
      </c>
      <c r="L37" s="34"/>
      <c r="M37" s="34"/>
      <c r="N37" s="36"/>
      <c r="O37" s="34"/>
      <c r="P37" s="34"/>
      <c r="Q37" s="36"/>
      <c r="R37" s="12">
        <f>InvoiceTable[[#This Row],[Amount Line 1]]+InvoiceTable[[#This Row],[Amount Line 2]]+InvoiceTable[[#This Row],[Amount Line 3]]</f>
        <v>5130</v>
      </c>
      <c r="S37" s="58"/>
      <c r="T37" s="57">
        <f>InvoiceTable[[#This Row],[Agreed Amount Total]]+InvoiceTable[[#This Row],[Additional Expenses]]</f>
        <v>5130</v>
      </c>
      <c r="U37" s="57">
        <f>InvoiceTable[[#This Row],[Net Amount]]+InvoiceTable[[#This Row],[VAT to Pay]]</f>
        <v>6156</v>
      </c>
      <c r="V37" s="93">
        <v>15071</v>
      </c>
      <c r="W37" s="59">
        <v>43152</v>
      </c>
      <c r="X37" s="60">
        <f>IF(InvoiceTable[[#This Row],[Invoice Date]]="","",WORKDAY(InvoiceTable[[#This Row],[Invoice Date]],14))</f>
        <v>43172</v>
      </c>
      <c r="Y37" s="34" t="s">
        <v>148</v>
      </c>
      <c r="Z37" s="61">
        <v>43169</v>
      </c>
      <c r="AA37" s="57">
        <f>InvoiceTable[[#This Row],[Net Amount]]*InvoiceTable[[#This Row],[VAT]]</f>
        <v>1026</v>
      </c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2:49" x14ac:dyDescent="0.35">
      <c r="B38" s="34" t="s">
        <v>47</v>
      </c>
      <c r="C38" s="34" t="s">
        <v>85</v>
      </c>
      <c r="D38" s="68" t="s">
        <v>39</v>
      </c>
      <c r="E38" s="68" t="s">
        <v>41</v>
      </c>
      <c r="F38" s="68" t="s">
        <v>40</v>
      </c>
      <c r="G38" s="68"/>
      <c r="H38" s="99">
        <v>0</v>
      </c>
      <c r="I38" s="34" t="s">
        <v>239</v>
      </c>
      <c r="J38" s="35">
        <v>42986</v>
      </c>
      <c r="K38" s="36">
        <v>1800</v>
      </c>
      <c r="L38" s="34"/>
      <c r="M38" s="34"/>
      <c r="N38" s="36"/>
      <c r="O38" s="34"/>
      <c r="P38" s="34"/>
      <c r="Q38" s="36"/>
      <c r="R38" s="12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1800</v>
      </c>
      <c r="V38" s="93">
        <v>15073</v>
      </c>
      <c r="W38" s="59">
        <v>43161</v>
      </c>
      <c r="X38" s="60">
        <f>IF(InvoiceTable[[#This Row],[Invoice Date]]="","",WORKDAY(InvoiceTable[[#This Row],[Invoice Date]],14))</f>
        <v>43181</v>
      </c>
      <c r="Y38" s="34" t="s">
        <v>148</v>
      </c>
      <c r="Z38" s="61">
        <v>43179</v>
      </c>
      <c r="AA38" s="57">
        <f>InvoiceTable[[#This Row],[Net Amount]]*InvoiceTable[[#This Row],[VAT]]</f>
        <v>0</v>
      </c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2:49" x14ac:dyDescent="0.35">
      <c r="B39" s="34" t="s">
        <v>72</v>
      </c>
      <c r="C39" s="34" t="s">
        <v>20</v>
      </c>
      <c r="D39" s="68" t="s">
        <v>73</v>
      </c>
      <c r="E39" s="68" t="s">
        <v>74</v>
      </c>
      <c r="F39" s="68" t="s">
        <v>70</v>
      </c>
      <c r="G39" s="68" t="s">
        <v>106</v>
      </c>
      <c r="H39" s="99">
        <v>0.19</v>
      </c>
      <c r="I39" s="34" t="s">
        <v>239</v>
      </c>
      <c r="J39" s="35">
        <v>43027</v>
      </c>
      <c r="K39" s="36">
        <v>6750</v>
      </c>
      <c r="L39" s="34"/>
      <c r="M39" s="34"/>
      <c r="N39" s="36"/>
      <c r="O39" s="34"/>
      <c r="P39" s="34"/>
      <c r="Q39" s="36"/>
      <c r="R39" s="12">
        <f>InvoiceTable[[#This Row],[Amount Line 1]]+InvoiceTable[[#This Row],[Amount Line 2]]+InvoiceTable[[#This Row],[Amount Line 3]]</f>
        <v>6750</v>
      </c>
      <c r="S39" s="58"/>
      <c r="T39" s="57">
        <f>InvoiceTable[[#This Row],[Agreed Amount Total]]+InvoiceTable[[#This Row],[Additional Expenses]]</f>
        <v>6750</v>
      </c>
      <c r="U39" s="57">
        <f>InvoiceTable[[#This Row],[Net Amount]]+InvoiceTable[[#This Row],[VAT to Pay]]</f>
        <v>8032.5</v>
      </c>
      <c r="V39" s="93">
        <v>15074</v>
      </c>
      <c r="W39" s="59">
        <v>43161</v>
      </c>
      <c r="X39" s="60">
        <f>IF(InvoiceTable[[#This Row],[Invoice Date]]="","",WORKDAY(InvoiceTable[[#This Row],[Invoice Date]],14))</f>
        <v>43181</v>
      </c>
      <c r="Y39" s="34" t="s">
        <v>148</v>
      </c>
      <c r="Z39" s="61">
        <v>43180</v>
      </c>
      <c r="AA39" s="57">
        <f>InvoiceTable[[#This Row],[Net Amount]]*InvoiceTable[[#This Row],[VAT]]</f>
        <v>1282.5</v>
      </c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2:49" x14ac:dyDescent="0.35">
      <c r="B40" s="34" t="s">
        <v>65</v>
      </c>
      <c r="C40" s="34" t="s">
        <v>82</v>
      </c>
      <c r="D40" s="68" t="s">
        <v>60</v>
      </c>
      <c r="E40" s="68" t="s">
        <v>61</v>
      </c>
      <c r="F40" s="68" t="s">
        <v>57</v>
      </c>
      <c r="G40" s="68" t="s">
        <v>108</v>
      </c>
      <c r="H40" s="99">
        <v>0.2</v>
      </c>
      <c r="I40" s="34" t="s">
        <v>241</v>
      </c>
      <c r="J40" s="35">
        <v>43027</v>
      </c>
      <c r="K40" s="36">
        <v>5562.5</v>
      </c>
      <c r="L40" s="34"/>
      <c r="M40" s="34"/>
      <c r="N40" s="36"/>
      <c r="O40" s="34"/>
      <c r="P40" s="34"/>
      <c r="Q40" s="36"/>
      <c r="R40" s="12">
        <f>InvoiceTable[[#This Row],[Amount Line 1]]+InvoiceTable[[#This Row],[Amount Line 2]]+InvoiceTable[[#This Row],[Amount Line 3]]</f>
        <v>5562.5</v>
      </c>
      <c r="S40" s="58"/>
      <c r="T40" s="57">
        <f>InvoiceTable[[#This Row],[Agreed Amount Total]]+InvoiceTable[[#This Row],[Additional Expenses]]</f>
        <v>5562.5</v>
      </c>
      <c r="U40" s="57">
        <f>InvoiceTable[[#This Row],[Net Amount]]+InvoiceTable[[#This Row],[VAT to Pay]]</f>
        <v>6675</v>
      </c>
      <c r="V40" s="93">
        <v>15075</v>
      </c>
      <c r="W40" s="59">
        <v>43157</v>
      </c>
      <c r="X40" s="60">
        <f>IF(InvoiceTable[[#This Row],[Invoice Date]]="","",WORKDAY(InvoiceTable[[#This Row],[Invoice Date]],14))</f>
        <v>43175</v>
      </c>
      <c r="Y40" s="34" t="s">
        <v>294</v>
      </c>
      <c r="Z40" s="61"/>
      <c r="AA40" s="57">
        <f>InvoiceTable[[#This Row],[Net Amount]]*InvoiceTable[[#This Row],[VAT]]</f>
        <v>1112.5</v>
      </c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2:49" x14ac:dyDescent="0.35">
      <c r="B41" s="34" t="s">
        <v>44</v>
      </c>
      <c r="C41" s="34" t="s">
        <v>10</v>
      </c>
      <c r="D41" s="68" t="s">
        <v>25</v>
      </c>
      <c r="E41" s="68" t="s">
        <v>26</v>
      </c>
      <c r="F41" s="68" t="s">
        <v>27</v>
      </c>
      <c r="G41" s="68" t="s">
        <v>200</v>
      </c>
      <c r="H41" s="99">
        <v>0</v>
      </c>
      <c r="I41" s="34" t="s">
        <v>241</v>
      </c>
      <c r="J41" s="35">
        <v>43034</v>
      </c>
      <c r="K41" s="36">
        <v>4800</v>
      </c>
      <c r="L41" s="34"/>
      <c r="M41" s="34"/>
      <c r="N41" s="36"/>
      <c r="O41" s="34"/>
      <c r="P41" s="34"/>
      <c r="Q41" s="36"/>
      <c r="R41" s="12">
        <f>InvoiceTable[[#This Row],[Amount Line 1]]+InvoiceTable[[#This Row],[Amount Line 2]]+InvoiceTable[[#This Row],[Amount Line 3]]</f>
        <v>4800</v>
      </c>
      <c r="S41" s="58"/>
      <c r="T41" s="57">
        <f>InvoiceTable[[#This Row],[Agreed Amount Total]]+InvoiceTable[[#This Row],[Additional Expenses]]</f>
        <v>4800</v>
      </c>
      <c r="U41" s="57">
        <f>InvoiceTable[[#This Row],[Net Amount]]+InvoiceTable[[#This Row],[VAT to Pay]]</f>
        <v>4800</v>
      </c>
      <c r="V41" s="93"/>
      <c r="W41" s="59"/>
      <c r="X41" s="60" t="str">
        <f>IF(InvoiceTable[[#This Row],[Invoice Date]]="","",WORKDAY(InvoiceTable[[#This Row],[Invoice Date]],14))</f>
        <v/>
      </c>
      <c r="Y41" s="34"/>
      <c r="Z41" s="61"/>
      <c r="AA41" s="57">
        <f>InvoiceTable[[#This Row],[Net Amount]]*InvoiceTable[[#This Row],[VAT]]</f>
        <v>0</v>
      </c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2:49" ht="27" x14ac:dyDescent="0.35">
      <c r="B42" s="34" t="s">
        <v>312</v>
      </c>
      <c r="C42" s="34"/>
      <c r="D42" s="68"/>
      <c r="E42" s="68"/>
      <c r="F42" s="68"/>
      <c r="G42" s="68"/>
      <c r="H42" s="99"/>
      <c r="I42" s="34"/>
      <c r="J42" s="34"/>
      <c r="K42" s="36"/>
      <c r="L42" s="34"/>
      <c r="M42" s="34"/>
      <c r="N42" s="36"/>
      <c r="O42" s="34"/>
      <c r="P42" s="34"/>
      <c r="Q42" s="36"/>
      <c r="R42" s="12">
        <f>InvoiceTable[[#This Row],[Amount Line 1]]+InvoiceTable[[#This Row],[Amount Line 2]]+InvoiceTable[[#This Row],[Amount Line 3]]</f>
        <v>0</v>
      </c>
      <c r="S42" s="58"/>
      <c r="T42" s="57">
        <f>InvoiceTable[[#This Row],[Agreed Amount Total]]+InvoiceTable[[#This Row],[Additional Expenses]]</f>
        <v>0</v>
      </c>
      <c r="U42" s="57">
        <f>InvoiceTable[[#This Row],[Net Amount]]+InvoiceTable[[#This Row],[VAT to Pay]]</f>
        <v>0</v>
      </c>
      <c r="V42" s="93"/>
      <c r="W42" s="75"/>
      <c r="X42" s="60" t="str">
        <f>IF(InvoiceTable[[#This Row],[Invoice Date]]="","",WORKDAY(InvoiceTable[[#This Row],[Invoice Date]],14))</f>
        <v/>
      </c>
      <c r="Y42" s="34"/>
      <c r="Z42" s="34"/>
      <c r="AA42" s="57">
        <f>InvoiceTable[[#This Row],[Net Amount]]*InvoiceTable[[#This Row],[VAT]]</f>
        <v>0</v>
      </c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2:49" x14ac:dyDescent="0.35">
      <c r="B43" s="34"/>
      <c r="C43" s="34"/>
      <c r="D43" s="34"/>
      <c r="E43" s="34"/>
      <c r="F43" s="34"/>
      <c r="G43" s="34"/>
      <c r="H43" s="76"/>
      <c r="I43" s="34"/>
      <c r="J43" s="34"/>
      <c r="K43" s="36"/>
      <c r="L43" s="34"/>
      <c r="M43" s="34"/>
      <c r="N43" s="36"/>
      <c r="O43" s="34"/>
      <c r="P43" s="34"/>
      <c r="Q43" s="36"/>
      <c r="R43" s="34"/>
      <c r="S43" s="34"/>
      <c r="T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2:49" x14ac:dyDescent="0.35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2:49" x14ac:dyDescent="0.35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2:49" x14ac:dyDescent="0.35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2:49" x14ac:dyDescent="0.35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2:49" x14ac:dyDescent="0.35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x14ac:dyDescent="0.35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x14ac:dyDescent="0.35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x14ac:dyDescent="0.35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x14ac:dyDescent="0.35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x14ac:dyDescent="0.35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x14ac:dyDescent="0.35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x14ac:dyDescent="0.35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x14ac:dyDescent="0.35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x14ac:dyDescent="0.35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x14ac:dyDescent="0.35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x14ac:dyDescent="0.35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x14ac:dyDescent="0.35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x14ac:dyDescent="0.35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x14ac:dyDescent="0.35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x14ac:dyDescent="0.35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x14ac:dyDescent="0.35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x14ac:dyDescent="0.35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x14ac:dyDescent="0.35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x14ac:dyDescent="0.35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x14ac:dyDescent="0.35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x14ac:dyDescent="0.35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x14ac:dyDescent="0.35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x14ac:dyDescent="0.35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x14ac:dyDescent="0.35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x14ac:dyDescent="0.35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x14ac:dyDescent="0.35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x14ac:dyDescent="0.35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x14ac:dyDescent="0.35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x14ac:dyDescent="0.35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x14ac:dyDescent="0.35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x14ac:dyDescent="0.35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x14ac:dyDescent="0.35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x14ac:dyDescent="0.35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x14ac:dyDescent="0.35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x14ac:dyDescent="0.35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x14ac:dyDescent="0.35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x14ac:dyDescent="0.35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x14ac:dyDescent="0.35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x14ac:dyDescent="0.35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x14ac:dyDescent="0.35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x14ac:dyDescent="0.35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x14ac:dyDescent="0.35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x14ac:dyDescent="0.35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x14ac:dyDescent="0.35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x14ac:dyDescent="0.35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x14ac:dyDescent="0.35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x14ac:dyDescent="0.35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x14ac:dyDescent="0.35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x14ac:dyDescent="0.35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x14ac:dyDescent="0.35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x14ac:dyDescent="0.35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x14ac:dyDescent="0.35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x14ac:dyDescent="0.35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x14ac:dyDescent="0.35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x14ac:dyDescent="0.35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x14ac:dyDescent="0.35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x14ac:dyDescent="0.35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x14ac:dyDescent="0.35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x14ac:dyDescent="0.35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x14ac:dyDescent="0.35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x14ac:dyDescent="0.35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x14ac:dyDescent="0.35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x14ac:dyDescent="0.35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x14ac:dyDescent="0.35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x14ac:dyDescent="0.35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x14ac:dyDescent="0.35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x14ac:dyDescent="0.35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x14ac:dyDescent="0.35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x14ac:dyDescent="0.35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x14ac:dyDescent="0.35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x14ac:dyDescent="0.35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x14ac:dyDescent="0.35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x14ac:dyDescent="0.35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x14ac:dyDescent="0.35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x14ac:dyDescent="0.35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x14ac:dyDescent="0.35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x14ac:dyDescent="0.35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x14ac:dyDescent="0.35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x14ac:dyDescent="0.35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x14ac:dyDescent="0.35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x14ac:dyDescent="0.35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x14ac:dyDescent="0.35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x14ac:dyDescent="0.35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x14ac:dyDescent="0.35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x14ac:dyDescent="0.35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x14ac:dyDescent="0.35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x14ac:dyDescent="0.35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x14ac:dyDescent="0.35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x14ac:dyDescent="0.35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x14ac:dyDescent="0.35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x14ac:dyDescent="0.35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x14ac:dyDescent="0.35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x14ac:dyDescent="0.35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x14ac:dyDescent="0.35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x14ac:dyDescent="0.35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x14ac:dyDescent="0.35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x14ac:dyDescent="0.35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x14ac:dyDescent="0.35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x14ac:dyDescent="0.35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x14ac:dyDescent="0.35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x14ac:dyDescent="0.35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x14ac:dyDescent="0.35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x14ac:dyDescent="0.35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x14ac:dyDescent="0.35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x14ac:dyDescent="0.35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x14ac:dyDescent="0.35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x14ac:dyDescent="0.35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x14ac:dyDescent="0.35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x14ac:dyDescent="0.35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x14ac:dyDescent="0.35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x14ac:dyDescent="0.35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x14ac:dyDescent="0.35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x14ac:dyDescent="0.35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x14ac:dyDescent="0.35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x14ac:dyDescent="0.35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x14ac:dyDescent="0.35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x14ac:dyDescent="0.35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x14ac:dyDescent="0.35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x14ac:dyDescent="0.35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x14ac:dyDescent="0.35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x14ac:dyDescent="0.35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x14ac:dyDescent="0.35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x14ac:dyDescent="0.35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x14ac:dyDescent="0.35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x14ac:dyDescent="0.35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x14ac:dyDescent="0.35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x14ac:dyDescent="0.35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x14ac:dyDescent="0.35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:49" x14ac:dyDescent="0.35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:49" x14ac:dyDescent="0.35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:49" x14ac:dyDescent="0.35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:49" x14ac:dyDescent="0.35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:49" x14ac:dyDescent="0.35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:49" x14ac:dyDescent="0.35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:49" x14ac:dyDescent="0.35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:49" x14ac:dyDescent="0.35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:49" x14ac:dyDescent="0.35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:49" x14ac:dyDescent="0.35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:49" x14ac:dyDescent="0.35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:49" x14ac:dyDescent="0.35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:49" x14ac:dyDescent="0.35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:49" x14ac:dyDescent="0.35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:49" x14ac:dyDescent="0.35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:49" x14ac:dyDescent="0.35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:49" x14ac:dyDescent="0.35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:49" x14ac:dyDescent="0.35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:49" x14ac:dyDescent="0.35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:49" x14ac:dyDescent="0.35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:49" x14ac:dyDescent="0.35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:49" x14ac:dyDescent="0.35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:49" x14ac:dyDescent="0.35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:49" x14ac:dyDescent="0.35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:49" x14ac:dyDescent="0.35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:49" x14ac:dyDescent="0.35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:49" x14ac:dyDescent="0.35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:49" x14ac:dyDescent="0.35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:49" x14ac:dyDescent="0.35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:49" x14ac:dyDescent="0.35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:49" x14ac:dyDescent="0.35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:49" x14ac:dyDescent="0.35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:49" x14ac:dyDescent="0.35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:49" x14ac:dyDescent="0.35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:49" x14ac:dyDescent="0.35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:49" x14ac:dyDescent="0.35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:49" x14ac:dyDescent="0.35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:49" x14ac:dyDescent="0.35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:49" x14ac:dyDescent="0.35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:49" x14ac:dyDescent="0.35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:49" x14ac:dyDescent="0.35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:49" x14ac:dyDescent="0.35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:49" x14ac:dyDescent="0.35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:49" x14ac:dyDescent="0.35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:49" x14ac:dyDescent="0.35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:49" x14ac:dyDescent="0.35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:49" x14ac:dyDescent="0.35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:49" x14ac:dyDescent="0.35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:49" x14ac:dyDescent="0.35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:49" x14ac:dyDescent="0.35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:49" x14ac:dyDescent="0.35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:49" x14ac:dyDescent="0.35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:49" x14ac:dyDescent="0.35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:49" x14ac:dyDescent="0.35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:49" x14ac:dyDescent="0.35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:49" x14ac:dyDescent="0.35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:49" x14ac:dyDescent="0.35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:49" x14ac:dyDescent="0.35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:49" x14ac:dyDescent="0.35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:49" x14ac:dyDescent="0.35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:49" x14ac:dyDescent="0.35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:49" x14ac:dyDescent="0.35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:49" x14ac:dyDescent="0.35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:49" x14ac:dyDescent="0.35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:49" x14ac:dyDescent="0.35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:49" x14ac:dyDescent="0.35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:49" x14ac:dyDescent="0.35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:49" x14ac:dyDescent="0.35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:49" x14ac:dyDescent="0.35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:49" x14ac:dyDescent="0.35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:49" x14ac:dyDescent="0.35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:49" x14ac:dyDescent="0.35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:49" x14ac:dyDescent="0.35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:49" x14ac:dyDescent="0.35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:49" x14ac:dyDescent="0.35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:49" x14ac:dyDescent="0.35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:49" x14ac:dyDescent="0.35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:49" x14ac:dyDescent="0.35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:49" x14ac:dyDescent="0.35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:49" x14ac:dyDescent="0.35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:49" x14ac:dyDescent="0.35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:49" x14ac:dyDescent="0.35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:49" x14ac:dyDescent="0.35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:49" x14ac:dyDescent="0.35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:49" x14ac:dyDescent="0.35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:49" x14ac:dyDescent="0.35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:49" x14ac:dyDescent="0.35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:49" x14ac:dyDescent="0.35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:49" x14ac:dyDescent="0.35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:49" x14ac:dyDescent="0.35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:49" x14ac:dyDescent="0.35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:49" x14ac:dyDescent="0.35">
      <c r="B268" s="34"/>
      <c r="C268" s="34"/>
      <c r="D268" s="34"/>
      <c r="E268" s="34"/>
      <c r="F268" s="34"/>
      <c r="G268" s="34"/>
      <c r="H268" s="76"/>
      <c r="I268" s="34"/>
      <c r="J268" s="34"/>
      <c r="K268" s="36"/>
      <c r="L268" s="34"/>
      <c r="M268" s="34"/>
      <c r="N268" s="36"/>
      <c r="O268" s="34"/>
      <c r="P268" s="34"/>
      <c r="Q268" s="36"/>
      <c r="R268" s="34"/>
      <c r="S268" s="34"/>
      <c r="T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:49" x14ac:dyDescent="0.35">
      <c r="B269" s="34"/>
      <c r="C269" s="34"/>
      <c r="D269" s="34"/>
      <c r="E269" s="34"/>
      <c r="F269" s="34"/>
      <c r="G269" s="34"/>
      <c r="H269" s="76"/>
      <c r="I269" s="34"/>
      <c r="J269" s="34"/>
      <c r="K269" s="36"/>
      <c r="L269" s="34"/>
      <c r="M269" s="34"/>
      <c r="N269" s="36"/>
      <c r="O269" s="34"/>
      <c r="P269" s="34"/>
      <c r="Q269" s="36"/>
      <c r="R269" s="34"/>
      <c r="S269" s="34"/>
      <c r="T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:49" x14ac:dyDescent="0.35">
      <c r="B270" s="34"/>
      <c r="C270" s="34"/>
      <c r="D270" s="34"/>
      <c r="E270" s="34"/>
      <c r="F270" s="34"/>
      <c r="G270" s="34"/>
      <c r="H270" s="76"/>
      <c r="I270" s="34"/>
      <c r="J270" s="34"/>
      <c r="K270" s="36"/>
      <c r="L270" s="34"/>
      <c r="M270" s="34"/>
      <c r="N270" s="36"/>
      <c r="O270" s="34"/>
      <c r="P270" s="34"/>
      <c r="Q270" s="36"/>
      <c r="R270" s="34"/>
      <c r="S270" s="34"/>
      <c r="T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:49" x14ac:dyDescent="0.35">
      <c r="B271" s="34"/>
      <c r="C271" s="34"/>
      <c r="D271" s="34"/>
      <c r="E271" s="34"/>
      <c r="F271" s="34"/>
      <c r="G271" s="34"/>
      <c r="H271" s="76"/>
      <c r="I271" s="34"/>
      <c r="J271" s="34"/>
      <c r="K271" s="36"/>
      <c r="L271" s="34"/>
      <c r="M271" s="34"/>
      <c r="N271" s="36"/>
      <c r="O271" s="34"/>
      <c r="P271" s="34"/>
      <c r="Q271" s="36"/>
      <c r="R271" s="34"/>
      <c r="S271" s="34"/>
      <c r="T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:49" x14ac:dyDescent="0.35">
      <c r="B272" s="34"/>
      <c r="C272" s="34"/>
      <c r="D272" s="34"/>
      <c r="E272" s="34"/>
      <c r="F272" s="34"/>
      <c r="G272" s="34"/>
      <c r="H272" s="76"/>
      <c r="I272" s="34"/>
      <c r="J272" s="34"/>
      <c r="K272" s="36"/>
      <c r="L272" s="34"/>
      <c r="M272" s="34"/>
      <c r="N272" s="36"/>
      <c r="O272" s="34"/>
      <c r="P272" s="34"/>
      <c r="Q272" s="36"/>
      <c r="R272" s="34"/>
      <c r="S272" s="34"/>
      <c r="T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:49" x14ac:dyDescent="0.35">
      <c r="B273" s="34"/>
      <c r="C273" s="34"/>
      <c r="D273" s="34"/>
      <c r="E273" s="34"/>
      <c r="F273" s="34"/>
      <c r="G273" s="34"/>
      <c r="H273" s="76"/>
      <c r="I273" s="34"/>
      <c r="J273" s="34"/>
      <c r="K273" s="36"/>
      <c r="L273" s="34"/>
      <c r="M273" s="34"/>
      <c r="N273" s="36"/>
      <c r="O273" s="34"/>
      <c r="P273" s="34"/>
      <c r="Q273" s="36"/>
      <c r="R273" s="34"/>
      <c r="S273" s="34"/>
      <c r="T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:49" x14ac:dyDescent="0.35"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:49" x14ac:dyDescent="0.35"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:49" x14ac:dyDescent="0.35"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:49" x14ac:dyDescent="0.35"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:49" x14ac:dyDescent="0.35"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:49" x14ac:dyDescent="0.35"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</sheetData>
  <sheetProtection formatCells="0" formatColumns="0" formatRows="0" insertRows="0" deleteRows="0" sort="0" autoFilter="0"/>
  <dataValidations count="2">
    <dataValidation type="list" showInputMessage="1" showErrorMessage="1" sqref="Y8:Y9">
      <formula1>"Paid,Created,Sent"</formula1>
    </dataValidation>
    <dataValidation type="list" allowBlank="1" showInputMessage="1" showErrorMessage="1" sqref="Y10:Y42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AXcbHidePaid">
          <controlPr defaultSize="0" autoLine="0" r:id="rId5">
            <anchor moveWithCells="1">
              <from>
                <xdr:col>1</xdr:col>
                <xdr:colOff>1362075</xdr:colOff>
                <xdr:row>4</xdr:row>
                <xdr:rowOff>252413</xdr:rowOff>
              </from>
              <to>
                <xdr:col>2</xdr:col>
                <xdr:colOff>1262063</xdr:colOff>
                <xdr:row>6</xdr:row>
                <xdr:rowOff>14288</xdr:rowOff>
              </to>
            </anchor>
          </controlPr>
        </control>
      </mc:Choice>
      <mc:Fallback>
        <control shapeId="7171" r:id="rId4" name="AXcbHidePaid"/>
      </mc:Fallback>
    </mc:AlternateContent>
    <mc:AlternateContent xmlns:mc="http://schemas.openxmlformats.org/markup-compatibility/2006">
      <mc:Choice Requires="x14">
        <control shapeId="7173" r:id="rId6" name="AXcbCollapse">
          <controlPr defaultSize="0" autoLine="0" r:id="rId7">
            <anchor moveWithCells="1">
              <from>
                <xdr:col>1</xdr:col>
                <xdr:colOff>47625</xdr:colOff>
                <xdr:row>4</xdr:row>
                <xdr:rowOff>247650</xdr:rowOff>
              </from>
              <to>
                <xdr:col>1</xdr:col>
                <xdr:colOff>1233488</xdr:colOff>
                <xdr:row>5</xdr:row>
                <xdr:rowOff>214313</xdr:rowOff>
              </to>
            </anchor>
          </controlPr>
        </control>
      </mc:Choice>
      <mc:Fallback>
        <control shapeId="7173" r:id="rId6" name="AXcbCollapse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395288</xdr:colOff>
                <xdr:row>1</xdr:row>
                <xdr:rowOff>4763</xdr:rowOff>
              </from>
              <to>
                <xdr:col>2</xdr:col>
                <xdr:colOff>200025</xdr:colOff>
                <xdr:row>3</xdr:row>
                <xdr:rowOff>123825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P56"/>
  <sheetViews>
    <sheetView topLeftCell="A26" workbookViewId="0">
      <selection activeCell="C49" sqref="C49"/>
    </sheetView>
  </sheetViews>
  <sheetFormatPr defaultColWidth="0" defaultRowHeight="12.75" customHeight="1" zeroHeight="1" x14ac:dyDescent="0.35"/>
  <cols>
    <col min="1" max="1" width="1.25" style="19" customWidth="1"/>
    <col min="2" max="2" width="2.75" style="19" customWidth="1"/>
    <col min="3" max="13" width="8" style="19" customWidth="1"/>
    <col min="14" max="14" width="11" style="19" customWidth="1"/>
    <col min="15" max="15" width="2" style="19" customWidth="1"/>
    <col min="16" max="16" width="2.25" style="19" customWidth="1"/>
    <col min="17" max="16384" width="7.875" hidden="1"/>
  </cols>
  <sheetData>
    <row r="1" spans="1:16" ht="13.5" x14ac:dyDescent="0.3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13.5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 ht="13.5" x14ac:dyDescent="0.35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6" ht="13.5" x14ac:dyDescent="0.35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0"/>
      <c r="P4" s="80"/>
    </row>
    <row r="5" spans="1:16" ht="17.649999999999999" x14ac:dyDescent="0.5">
      <c r="A5" s="80"/>
      <c r="B5" s="82"/>
      <c r="C5" s="83" t="s">
        <v>245</v>
      </c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0"/>
      <c r="P5" s="80"/>
    </row>
    <row r="6" spans="1:16" ht="13.5" x14ac:dyDescent="0.35">
      <c r="A6" s="80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0"/>
      <c r="P6" s="80"/>
    </row>
    <row r="7" spans="1:16" ht="13.5" x14ac:dyDescent="0.35">
      <c r="A7" s="80"/>
      <c r="B7" s="84"/>
      <c r="C7" s="85" t="s">
        <v>265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0"/>
      <c r="P7" s="80"/>
    </row>
    <row r="8" spans="1:16" ht="13.5" x14ac:dyDescent="0.35">
      <c r="A8" s="80"/>
      <c r="B8" s="84"/>
      <c r="C8" s="85" t="s">
        <v>246</v>
      </c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0"/>
      <c r="P8" s="80"/>
    </row>
    <row r="9" spans="1:16" ht="13.5" x14ac:dyDescent="0.35">
      <c r="A9" s="80"/>
      <c r="B9" s="84"/>
      <c r="C9" s="85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0"/>
      <c r="P9" s="80"/>
    </row>
    <row r="10" spans="1:16" ht="13.5" x14ac:dyDescent="0.35">
      <c r="A10" s="80"/>
      <c r="B10" s="84"/>
      <c r="C10" s="85" t="s">
        <v>247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0"/>
      <c r="P10" s="80"/>
    </row>
    <row r="11" spans="1:16" ht="13.5" x14ac:dyDescent="0.35">
      <c r="A11" s="80"/>
      <c r="B11" s="84"/>
      <c r="C11" s="89" t="s">
        <v>248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0"/>
      <c r="P11" s="80"/>
    </row>
    <row r="12" spans="1:16" ht="13.5" x14ac:dyDescent="0.35">
      <c r="A12" s="80"/>
      <c r="B12" s="84"/>
      <c r="C12" s="89" t="s">
        <v>266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0"/>
      <c r="P12" s="80"/>
    </row>
    <row r="13" spans="1:16" ht="13.5" x14ac:dyDescent="0.35">
      <c r="A13" s="80"/>
      <c r="B13" s="84"/>
      <c r="C13" s="85" t="s">
        <v>249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0"/>
      <c r="P13" s="80"/>
    </row>
    <row r="14" spans="1:16" ht="13.5" x14ac:dyDescent="0.35">
      <c r="A14" s="80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0"/>
      <c r="P14" s="80"/>
    </row>
    <row r="15" spans="1:16" ht="17.649999999999999" x14ac:dyDescent="0.5">
      <c r="A15" s="80"/>
      <c r="B15" s="84"/>
      <c r="C15" s="83" t="s">
        <v>250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0"/>
      <c r="P15" s="80"/>
    </row>
    <row r="16" spans="1:16" ht="13.5" x14ac:dyDescent="0.35">
      <c r="A16" s="80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0"/>
      <c r="P16" s="80"/>
    </row>
    <row r="17" spans="1:16" ht="13.5" x14ac:dyDescent="0.35">
      <c r="A17" s="80"/>
      <c r="B17" s="84"/>
      <c r="C17" s="85" t="s">
        <v>256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0"/>
      <c r="P17" s="80"/>
    </row>
    <row r="18" spans="1:16" ht="13.5" x14ac:dyDescent="0.35">
      <c r="A18" s="80"/>
      <c r="B18" s="86"/>
      <c r="D18" s="86"/>
      <c r="E18" s="86"/>
      <c r="F18" s="86"/>
      <c r="G18" s="84"/>
      <c r="H18" s="84"/>
      <c r="I18" s="84"/>
      <c r="J18" s="84"/>
      <c r="K18" s="84"/>
      <c r="L18" s="84"/>
      <c r="M18" s="84"/>
      <c r="N18" s="84"/>
      <c r="O18" s="80"/>
      <c r="P18" s="80"/>
    </row>
    <row r="19" spans="1:16" ht="13.9" x14ac:dyDescent="0.4">
      <c r="A19" s="80"/>
      <c r="B19" s="81"/>
      <c r="C19" s="90" t="s">
        <v>251</v>
      </c>
      <c r="D19" s="87"/>
      <c r="E19" s="81"/>
      <c r="F19" s="81"/>
      <c r="G19" s="84"/>
      <c r="H19" s="84"/>
      <c r="I19" s="84"/>
      <c r="J19" s="84"/>
      <c r="K19" s="84"/>
      <c r="L19" s="84"/>
      <c r="M19" s="84"/>
      <c r="N19" s="84"/>
      <c r="O19" s="80"/>
      <c r="P19" s="80"/>
    </row>
    <row r="20" spans="1:16" ht="13.5" x14ac:dyDescent="0.35">
      <c r="A20" s="80"/>
      <c r="B20" s="84"/>
      <c r="C20" s="84" t="s">
        <v>252</v>
      </c>
      <c r="D20" s="85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0"/>
      <c r="P20" s="80"/>
    </row>
    <row r="21" spans="1:16" ht="13.9" x14ac:dyDescent="0.4">
      <c r="A21" s="80"/>
      <c r="B21" s="84"/>
      <c r="C21" s="84" t="s">
        <v>267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0"/>
      <c r="P21" s="80"/>
    </row>
    <row r="22" spans="1:16" ht="13.9" x14ac:dyDescent="0.4">
      <c r="A22" s="80"/>
      <c r="B22" s="84"/>
      <c r="C22" s="85" t="s">
        <v>268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0"/>
      <c r="P22" s="80"/>
    </row>
    <row r="23" spans="1:16" ht="13.5" x14ac:dyDescent="0.35">
      <c r="A23" s="80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0"/>
      <c r="P23" s="80"/>
    </row>
    <row r="24" spans="1:16" ht="13.9" x14ac:dyDescent="0.4">
      <c r="A24" s="80"/>
      <c r="B24" s="84"/>
      <c r="C24" s="90" t="s">
        <v>253</v>
      </c>
      <c r="D24" s="85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0"/>
      <c r="P24" s="80"/>
    </row>
    <row r="25" spans="1:16" ht="13.5" x14ac:dyDescent="0.35">
      <c r="A25" s="80"/>
      <c r="B25" s="84"/>
      <c r="C25" s="84" t="s">
        <v>269</v>
      </c>
      <c r="D25" s="85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0"/>
      <c r="P25" s="80"/>
    </row>
    <row r="26" spans="1:16" ht="13.5" x14ac:dyDescent="0.35">
      <c r="A26" s="80"/>
      <c r="B26" s="84"/>
      <c r="C26" s="84" t="s">
        <v>254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0"/>
      <c r="P26" s="80"/>
    </row>
    <row r="27" spans="1:16" ht="13.5" x14ac:dyDescent="0.35">
      <c r="A27" s="80"/>
      <c r="B27" s="84"/>
      <c r="C27" s="85" t="s">
        <v>255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0"/>
      <c r="P27" s="80"/>
    </row>
    <row r="28" spans="1:16" ht="17.649999999999999" x14ac:dyDescent="0.5">
      <c r="A28" s="80"/>
      <c r="B28" s="84"/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0"/>
      <c r="P28" s="80"/>
    </row>
    <row r="29" spans="1:16" ht="13.9" x14ac:dyDescent="0.4">
      <c r="A29" s="80"/>
      <c r="B29" s="84"/>
      <c r="C29" s="90" t="s">
        <v>257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0"/>
      <c r="P29" s="80"/>
    </row>
    <row r="30" spans="1:16" ht="13.5" x14ac:dyDescent="0.35">
      <c r="A30" s="80"/>
      <c r="B30" s="84"/>
      <c r="C30" s="84" t="s">
        <v>258</v>
      </c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0"/>
      <c r="P30" s="80"/>
    </row>
    <row r="31" spans="1:16" ht="13.9" x14ac:dyDescent="0.4">
      <c r="A31" s="80"/>
      <c r="B31" s="84"/>
      <c r="C31" s="85" t="s">
        <v>270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0"/>
      <c r="P31" s="80"/>
    </row>
    <row r="32" spans="1:16" ht="13.5" x14ac:dyDescent="0.35">
      <c r="A32" s="80"/>
      <c r="B32" s="84"/>
      <c r="C32" s="85" t="s">
        <v>271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0"/>
      <c r="P32" s="80"/>
    </row>
    <row r="33" spans="1:16" ht="13.5" x14ac:dyDescent="0.35">
      <c r="A33" s="80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0"/>
      <c r="P33" s="80"/>
    </row>
    <row r="34" spans="1:16" ht="13.9" x14ac:dyDescent="0.4">
      <c r="A34" s="80"/>
      <c r="B34" s="84"/>
      <c r="C34" s="90" t="s">
        <v>259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0"/>
      <c r="P34" s="80"/>
    </row>
    <row r="35" spans="1:16" ht="13.5" x14ac:dyDescent="0.35">
      <c r="A35" s="80"/>
      <c r="B35" s="84"/>
      <c r="C35" s="85" t="s">
        <v>260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0"/>
      <c r="P35" s="80"/>
    </row>
    <row r="36" spans="1:16" ht="13.9" x14ac:dyDescent="0.4">
      <c r="A36" s="80"/>
      <c r="B36" s="84"/>
      <c r="C36" s="85" t="s">
        <v>272</v>
      </c>
      <c r="D36" s="85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0"/>
      <c r="P36" s="80"/>
    </row>
    <row r="37" spans="1:16" ht="13.9" x14ac:dyDescent="0.4">
      <c r="A37" s="80"/>
      <c r="B37" s="84"/>
      <c r="C37" s="84" t="s">
        <v>273</v>
      </c>
      <c r="D37" s="85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0"/>
      <c r="P37" s="80"/>
    </row>
    <row r="38" spans="1:16" ht="13.5" x14ac:dyDescent="0.35">
      <c r="A38" s="80"/>
      <c r="B38" s="84"/>
      <c r="C38" s="85" t="s">
        <v>261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0"/>
      <c r="P38" s="80"/>
    </row>
    <row r="39" spans="1:16" ht="13.5" x14ac:dyDescent="0.35">
      <c r="A39" s="80"/>
      <c r="B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0"/>
      <c r="P39" s="80"/>
    </row>
    <row r="40" spans="1:16" ht="13.9" x14ac:dyDescent="0.4">
      <c r="A40" s="80"/>
      <c r="B40" s="84"/>
      <c r="C40" s="91" t="s">
        <v>274</v>
      </c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0"/>
      <c r="P40" s="80"/>
    </row>
    <row r="41" spans="1:16" ht="13.5" x14ac:dyDescent="0.35">
      <c r="A41" s="80"/>
      <c r="B41" s="84"/>
      <c r="C41" s="84" t="s">
        <v>275</v>
      </c>
      <c r="D41" s="85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0"/>
      <c r="P41" s="80"/>
    </row>
    <row r="42" spans="1:16" ht="13.9" x14ac:dyDescent="0.4">
      <c r="A42" s="80"/>
      <c r="B42" s="84"/>
      <c r="C42" s="84" t="s">
        <v>276</v>
      </c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0"/>
      <c r="P42" s="80"/>
    </row>
    <row r="43" spans="1:16" ht="13.5" x14ac:dyDescent="0.35">
      <c r="A43" s="80"/>
      <c r="B43" s="84"/>
      <c r="C43" s="84" t="s">
        <v>277</v>
      </c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0"/>
      <c r="P43" s="80"/>
    </row>
    <row r="44" spans="1:16" ht="13.5" x14ac:dyDescent="0.35">
      <c r="A44" s="80"/>
      <c r="B44" s="84"/>
      <c r="C44" s="92" t="s">
        <v>313</v>
      </c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0"/>
      <c r="P44" s="80"/>
    </row>
    <row r="45" spans="1:16" ht="13.5" x14ac:dyDescent="0.35">
      <c r="A45" s="80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0"/>
      <c r="P45" s="80"/>
    </row>
    <row r="46" spans="1:16" ht="13.9" x14ac:dyDescent="0.4">
      <c r="A46" s="80"/>
      <c r="B46" s="84"/>
      <c r="C46" s="90" t="s">
        <v>262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0"/>
      <c r="P46" s="80"/>
    </row>
    <row r="47" spans="1:16" ht="13.5" x14ac:dyDescent="0.35">
      <c r="A47" s="80"/>
      <c r="B47" s="84"/>
      <c r="C47" s="84" t="s">
        <v>263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0"/>
      <c r="P47" s="80"/>
    </row>
    <row r="48" spans="1:16" ht="13.5" x14ac:dyDescent="0.35">
      <c r="A48" s="80"/>
      <c r="B48" s="84"/>
      <c r="C48" s="84" t="s">
        <v>264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0"/>
      <c r="P48" s="80"/>
    </row>
    <row r="49" spans="1:16" ht="13.5" x14ac:dyDescent="0.35">
      <c r="A49" s="80"/>
      <c r="B49" s="84"/>
      <c r="C49" s="84"/>
      <c r="D49" s="85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0"/>
      <c r="P49" s="80"/>
    </row>
    <row r="50" spans="1:16" ht="13.5" x14ac:dyDescent="0.35">
      <c r="A50" s="80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0"/>
      <c r="P50" s="80"/>
    </row>
    <row r="51" spans="1:16" ht="13.5" x14ac:dyDescent="0.35">
      <c r="A51" s="80"/>
      <c r="B51" s="84"/>
      <c r="C51" s="84" t="s">
        <v>278</v>
      </c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0"/>
      <c r="P51" s="80"/>
    </row>
    <row r="52" spans="1:16" ht="13.5" x14ac:dyDescent="0.35">
      <c r="A52" s="80"/>
      <c r="B52" s="84"/>
      <c r="C52" s="84" t="s">
        <v>279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0"/>
      <c r="P52" s="80"/>
    </row>
    <row r="53" spans="1:16" ht="13.5" x14ac:dyDescent="0.35">
      <c r="A53" s="80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0"/>
      <c r="P53" s="80"/>
    </row>
    <row r="54" spans="1:16" ht="13.5" x14ac:dyDescent="0.35">
      <c r="A54" s="8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0"/>
      <c r="P54" s="80"/>
    </row>
    <row r="55" spans="1:16" ht="13.5" x14ac:dyDescent="0.3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</row>
    <row r="56" spans="1:16" ht="13.5" x14ac:dyDescent="0.3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ster"/>
  <dimension ref="A1:H32"/>
  <sheetViews>
    <sheetView workbookViewId="0">
      <selection activeCell="C15" sqref="C15"/>
    </sheetView>
  </sheetViews>
  <sheetFormatPr defaultRowHeight="13.5" x14ac:dyDescent="0.35"/>
  <cols>
    <col min="1" max="1" width="19" style="3" customWidth="1"/>
    <col min="2" max="2" width="22.375" style="3" customWidth="1"/>
    <col min="3" max="3" width="22.5" style="3" customWidth="1"/>
    <col min="4" max="4" width="19.375" style="3" customWidth="1"/>
    <col min="5" max="5" width="15.75" style="3" customWidth="1"/>
    <col min="6" max="6" width="16" style="3" customWidth="1"/>
    <col min="7" max="7" width="9" style="4"/>
    <col min="8" max="8" width="33.875" style="3" customWidth="1"/>
    <col min="9" max="16384" width="9" style="3"/>
  </cols>
  <sheetData>
    <row r="1" spans="1:8" x14ac:dyDescent="0.35">
      <c r="A1" s="5" t="s">
        <v>0</v>
      </c>
      <c r="B1" s="5" t="s">
        <v>2</v>
      </c>
      <c r="C1" s="5" t="s">
        <v>6</v>
      </c>
      <c r="D1" s="5" t="s">
        <v>7</v>
      </c>
      <c r="E1" s="5" t="s">
        <v>8</v>
      </c>
      <c r="F1" s="5" t="s">
        <v>3</v>
      </c>
      <c r="G1" s="6" t="s">
        <v>98</v>
      </c>
      <c r="H1" s="5" t="s">
        <v>158</v>
      </c>
    </row>
    <row r="2" spans="1:8" x14ac:dyDescent="0.35">
      <c r="A2" s="9" t="s">
        <v>159</v>
      </c>
      <c r="B2" s="10" t="s">
        <v>286</v>
      </c>
      <c r="C2" s="9" t="s">
        <v>22</v>
      </c>
      <c r="D2" s="9" t="s">
        <v>23</v>
      </c>
      <c r="E2" s="9" t="s">
        <v>24</v>
      </c>
      <c r="F2" s="9" t="s">
        <v>200</v>
      </c>
      <c r="G2" s="95">
        <v>0.2</v>
      </c>
      <c r="H2" s="9" t="s">
        <v>295</v>
      </c>
    </row>
    <row r="3" spans="1:8" x14ac:dyDescent="0.35">
      <c r="A3" s="9" t="s">
        <v>44</v>
      </c>
      <c r="B3" s="10" t="s">
        <v>10</v>
      </c>
      <c r="C3" s="9" t="s">
        <v>25</v>
      </c>
      <c r="D3" s="9" t="s">
        <v>26</v>
      </c>
      <c r="E3" s="9" t="s">
        <v>27</v>
      </c>
      <c r="F3" s="9" t="s">
        <v>200</v>
      </c>
      <c r="G3" s="95">
        <v>0</v>
      </c>
      <c r="H3" s="9" t="s">
        <v>160</v>
      </c>
    </row>
    <row r="4" spans="1:8" x14ac:dyDescent="0.35">
      <c r="A4" s="9" t="s">
        <v>45</v>
      </c>
      <c r="B4" s="10" t="s">
        <v>11</v>
      </c>
      <c r="C4" s="9" t="s">
        <v>28</v>
      </c>
      <c r="D4" s="9" t="s">
        <v>30</v>
      </c>
      <c r="E4" s="9" t="s">
        <v>29</v>
      </c>
      <c r="F4" s="9"/>
      <c r="G4" s="95">
        <v>0</v>
      </c>
      <c r="H4" s="9" t="s">
        <v>161</v>
      </c>
    </row>
    <row r="5" spans="1:8" x14ac:dyDescent="0.35">
      <c r="A5" s="9" t="s">
        <v>122</v>
      </c>
      <c r="B5" s="10" t="s">
        <v>12</v>
      </c>
      <c r="C5" s="9" t="s">
        <v>31</v>
      </c>
      <c r="D5" s="9" t="s">
        <v>33</v>
      </c>
      <c r="E5" s="9" t="s">
        <v>32</v>
      </c>
      <c r="F5" s="9"/>
      <c r="G5" s="95">
        <v>0</v>
      </c>
      <c r="H5" s="9" t="s">
        <v>162</v>
      </c>
    </row>
    <row r="6" spans="1:8" x14ac:dyDescent="0.35">
      <c r="A6" s="9" t="s">
        <v>46</v>
      </c>
      <c r="B6" s="10" t="s">
        <v>13</v>
      </c>
      <c r="C6" s="9" t="s">
        <v>34</v>
      </c>
      <c r="D6" s="9" t="s">
        <v>33</v>
      </c>
      <c r="E6" s="9" t="s">
        <v>32</v>
      </c>
      <c r="F6" s="9" t="s">
        <v>200</v>
      </c>
      <c r="G6" s="95">
        <v>0</v>
      </c>
      <c r="H6" s="9" t="s">
        <v>163</v>
      </c>
    </row>
    <row r="7" spans="1:8" x14ac:dyDescent="0.35">
      <c r="A7" s="9" t="s">
        <v>125</v>
      </c>
      <c r="B7" s="10" t="s">
        <v>14</v>
      </c>
      <c r="C7" s="9" t="s">
        <v>35</v>
      </c>
      <c r="D7" s="9" t="s">
        <v>33</v>
      </c>
      <c r="E7" s="9" t="s">
        <v>32</v>
      </c>
      <c r="F7" s="9"/>
      <c r="G7" s="95">
        <v>0</v>
      </c>
      <c r="H7" s="9" t="s">
        <v>296</v>
      </c>
    </row>
    <row r="8" spans="1:8" x14ac:dyDescent="0.35">
      <c r="A8" s="9" t="s">
        <v>121</v>
      </c>
      <c r="B8" s="10" t="s">
        <v>15</v>
      </c>
      <c r="C8" s="9" t="s">
        <v>36</v>
      </c>
      <c r="D8" s="9" t="s">
        <v>37</v>
      </c>
      <c r="E8" s="9" t="s">
        <v>38</v>
      </c>
      <c r="F8" s="9"/>
      <c r="G8" s="95">
        <v>0</v>
      </c>
      <c r="H8" s="9" t="s">
        <v>297</v>
      </c>
    </row>
    <row r="9" spans="1:8" x14ac:dyDescent="0.35">
      <c r="A9" s="9" t="s">
        <v>47</v>
      </c>
      <c r="B9" s="10" t="s">
        <v>85</v>
      </c>
      <c r="C9" s="9" t="s">
        <v>39</v>
      </c>
      <c r="D9" s="9" t="s">
        <v>41</v>
      </c>
      <c r="E9" s="9" t="s">
        <v>40</v>
      </c>
      <c r="F9" s="9"/>
      <c r="G9" s="95">
        <v>0</v>
      </c>
      <c r="H9" s="9" t="s">
        <v>298</v>
      </c>
    </row>
    <row r="10" spans="1:8" x14ac:dyDescent="0.35">
      <c r="A10" s="9" t="s">
        <v>48</v>
      </c>
      <c r="B10" s="10" t="s">
        <v>86</v>
      </c>
      <c r="C10" s="9" t="s">
        <v>39</v>
      </c>
      <c r="D10" s="9" t="s">
        <v>41</v>
      </c>
      <c r="E10" s="9" t="s">
        <v>40</v>
      </c>
      <c r="F10" s="9"/>
      <c r="G10" s="95">
        <v>0</v>
      </c>
      <c r="H10" s="9" t="s">
        <v>299</v>
      </c>
    </row>
    <row r="11" spans="1:8" x14ac:dyDescent="0.35">
      <c r="A11" s="9" t="s">
        <v>49</v>
      </c>
      <c r="B11" s="10" t="s">
        <v>18</v>
      </c>
      <c r="C11" s="9" t="s">
        <v>78</v>
      </c>
      <c r="D11" s="9" t="s">
        <v>43</v>
      </c>
      <c r="E11" s="9" t="s">
        <v>42</v>
      </c>
      <c r="F11" s="9" t="s">
        <v>200</v>
      </c>
      <c r="G11" s="95">
        <v>0</v>
      </c>
      <c r="H11" s="9" t="s">
        <v>164</v>
      </c>
    </row>
    <row r="12" spans="1:8" x14ac:dyDescent="0.35">
      <c r="A12" s="9" t="s">
        <v>50</v>
      </c>
      <c r="B12" s="10" t="s">
        <v>176</v>
      </c>
      <c r="C12" s="9" t="s">
        <v>96</v>
      </c>
      <c r="D12" s="9" t="s">
        <v>97</v>
      </c>
      <c r="E12" s="9" t="s">
        <v>99</v>
      </c>
      <c r="F12" s="9" t="s">
        <v>117</v>
      </c>
      <c r="G12" s="95">
        <v>0</v>
      </c>
      <c r="H12" s="9" t="s">
        <v>242</v>
      </c>
    </row>
    <row r="13" spans="1:8" x14ac:dyDescent="0.35">
      <c r="A13" s="9" t="s">
        <v>51</v>
      </c>
      <c r="B13" s="10" t="s">
        <v>16</v>
      </c>
      <c r="C13" s="9" t="s">
        <v>102</v>
      </c>
      <c r="D13" s="9" t="s">
        <v>103</v>
      </c>
      <c r="E13" s="9" t="s">
        <v>100</v>
      </c>
      <c r="F13" s="9" t="s">
        <v>200</v>
      </c>
      <c r="G13" s="95">
        <v>0</v>
      </c>
      <c r="H13" s="9" t="s">
        <v>165</v>
      </c>
    </row>
    <row r="14" spans="1:8" x14ac:dyDescent="0.35">
      <c r="A14" s="9" t="s">
        <v>177</v>
      </c>
      <c r="B14" s="10" t="s">
        <v>178</v>
      </c>
      <c r="C14" s="9" t="s">
        <v>179</v>
      </c>
      <c r="D14" s="9" t="s">
        <v>180</v>
      </c>
      <c r="E14" s="9" t="s">
        <v>57</v>
      </c>
      <c r="F14" s="9" t="s">
        <v>181</v>
      </c>
      <c r="G14" s="95">
        <v>0.2</v>
      </c>
      <c r="H14" s="9" t="s">
        <v>280</v>
      </c>
    </row>
    <row r="15" spans="1:8" x14ac:dyDescent="0.35">
      <c r="A15" s="9" t="s">
        <v>52</v>
      </c>
      <c r="B15" s="10" t="s">
        <v>182</v>
      </c>
      <c r="C15" s="9" t="s">
        <v>101</v>
      </c>
      <c r="D15" s="9" t="s">
        <v>183</v>
      </c>
      <c r="E15" s="9" t="s">
        <v>57</v>
      </c>
      <c r="F15" s="9" t="s">
        <v>113</v>
      </c>
      <c r="G15" s="95">
        <v>0.2</v>
      </c>
      <c r="H15" s="9" t="s">
        <v>166</v>
      </c>
    </row>
    <row r="16" spans="1:8" x14ac:dyDescent="0.35">
      <c r="A16" s="9" t="s">
        <v>184</v>
      </c>
      <c r="B16" s="10" t="s">
        <v>185</v>
      </c>
      <c r="C16" s="9" t="s">
        <v>186</v>
      </c>
      <c r="D16" s="9" t="s">
        <v>187</v>
      </c>
      <c r="E16" s="9" t="s">
        <v>100</v>
      </c>
      <c r="F16" s="9" t="s">
        <v>200</v>
      </c>
      <c r="G16" s="95">
        <v>0</v>
      </c>
      <c r="H16" s="9" t="s">
        <v>281</v>
      </c>
    </row>
    <row r="17" spans="1:8" s="9" customFormat="1" x14ac:dyDescent="0.35">
      <c r="A17" s="9" t="s">
        <v>188</v>
      </c>
      <c r="B17" s="10" t="s">
        <v>189</v>
      </c>
      <c r="C17" s="9" t="s">
        <v>190</v>
      </c>
      <c r="D17" s="9" t="s">
        <v>191</v>
      </c>
      <c r="E17" s="9" t="s">
        <v>100</v>
      </c>
      <c r="G17" s="95">
        <v>0</v>
      </c>
      <c r="H17" s="9" t="s">
        <v>282</v>
      </c>
    </row>
    <row r="18" spans="1:8" s="9" customFormat="1" x14ac:dyDescent="0.35">
      <c r="A18" s="9" t="s">
        <v>53</v>
      </c>
      <c r="B18" s="10" t="s">
        <v>17</v>
      </c>
      <c r="C18" s="9" t="s">
        <v>55</v>
      </c>
      <c r="D18" s="9" t="s">
        <v>56</v>
      </c>
      <c r="E18" s="9" t="s">
        <v>57</v>
      </c>
      <c r="F18" s="9" t="s">
        <v>114</v>
      </c>
      <c r="G18" s="95">
        <v>0.2</v>
      </c>
      <c r="H18" s="9" t="s">
        <v>167</v>
      </c>
    </row>
    <row r="19" spans="1:8" s="9" customFormat="1" x14ac:dyDescent="0.35">
      <c r="A19" s="9" t="s">
        <v>93</v>
      </c>
      <c r="B19" s="10" t="s">
        <v>192</v>
      </c>
      <c r="C19" s="9" t="s">
        <v>94</v>
      </c>
      <c r="D19" s="9" t="s">
        <v>95</v>
      </c>
      <c r="E19" s="9" t="s">
        <v>99</v>
      </c>
      <c r="F19" s="9" t="s">
        <v>118</v>
      </c>
      <c r="G19" s="95">
        <v>0.2</v>
      </c>
      <c r="H19" s="9" t="s">
        <v>305</v>
      </c>
    </row>
    <row r="20" spans="1:8" s="9" customFormat="1" x14ac:dyDescent="0.35">
      <c r="A20" s="9" t="s">
        <v>67</v>
      </c>
      <c r="B20" s="10" t="s">
        <v>83</v>
      </c>
      <c r="C20" s="9" t="s">
        <v>60</v>
      </c>
      <c r="D20" s="9" t="s">
        <v>61</v>
      </c>
      <c r="E20" s="9" t="s">
        <v>57</v>
      </c>
      <c r="F20" s="9" t="s">
        <v>115</v>
      </c>
      <c r="G20" s="95">
        <v>0.2</v>
      </c>
      <c r="H20" s="9" t="s">
        <v>300</v>
      </c>
    </row>
    <row r="21" spans="1:8" s="9" customFormat="1" x14ac:dyDescent="0.35">
      <c r="A21" s="9" t="s">
        <v>124</v>
      </c>
      <c r="B21" s="10" t="s">
        <v>18</v>
      </c>
      <c r="C21" s="9" t="s">
        <v>91</v>
      </c>
      <c r="D21" s="9" t="s">
        <v>92</v>
      </c>
      <c r="E21" s="9" t="s">
        <v>99</v>
      </c>
      <c r="F21" s="9" t="s">
        <v>120</v>
      </c>
      <c r="G21" s="95">
        <v>0.2</v>
      </c>
      <c r="H21" s="9" t="s">
        <v>168</v>
      </c>
    </row>
    <row r="22" spans="1:8" s="9" customFormat="1" x14ac:dyDescent="0.35">
      <c r="A22" s="9" t="s">
        <v>54</v>
      </c>
      <c r="B22" s="11" t="s">
        <v>19</v>
      </c>
      <c r="C22" s="9" t="s">
        <v>58</v>
      </c>
      <c r="D22" s="9" t="s">
        <v>59</v>
      </c>
      <c r="E22" s="9" t="s">
        <v>57</v>
      </c>
      <c r="F22" s="9" t="s">
        <v>116</v>
      </c>
      <c r="G22" s="95">
        <v>0.2</v>
      </c>
      <c r="H22" s="9" t="s">
        <v>169</v>
      </c>
    </row>
    <row r="23" spans="1:8" s="9" customFormat="1" x14ac:dyDescent="0.35">
      <c r="A23" s="9" t="s">
        <v>68</v>
      </c>
      <c r="B23" s="10" t="s">
        <v>84</v>
      </c>
      <c r="C23" s="9" t="s">
        <v>69</v>
      </c>
      <c r="D23" s="9" t="s">
        <v>71</v>
      </c>
      <c r="E23" s="9" t="s">
        <v>70</v>
      </c>
      <c r="F23" s="9" t="s">
        <v>104</v>
      </c>
      <c r="G23" s="95">
        <v>0.19</v>
      </c>
      <c r="H23" s="9" t="s">
        <v>170</v>
      </c>
    </row>
    <row r="24" spans="1:8" s="9" customFormat="1" x14ac:dyDescent="0.35">
      <c r="A24" s="3" t="s">
        <v>77</v>
      </c>
      <c r="B24" s="8" t="s">
        <v>193</v>
      </c>
      <c r="C24" s="3" t="s">
        <v>69</v>
      </c>
      <c r="D24" s="3" t="s">
        <v>71</v>
      </c>
      <c r="E24" s="3" t="s">
        <v>70</v>
      </c>
      <c r="F24" s="3" t="s">
        <v>105</v>
      </c>
      <c r="G24" s="96">
        <v>0.19</v>
      </c>
      <c r="H24" s="3" t="s">
        <v>171</v>
      </c>
    </row>
    <row r="25" spans="1:8" s="9" customFormat="1" x14ac:dyDescent="0.35">
      <c r="A25" s="3" t="s">
        <v>72</v>
      </c>
      <c r="B25" s="8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96">
        <v>0.19</v>
      </c>
      <c r="H25" s="3" t="s">
        <v>172</v>
      </c>
    </row>
    <row r="26" spans="1:8" s="9" customFormat="1" x14ac:dyDescent="0.35">
      <c r="A26" s="3" t="s">
        <v>76</v>
      </c>
      <c r="B26" s="8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96">
        <v>0.19</v>
      </c>
      <c r="H26" s="3" t="s">
        <v>173</v>
      </c>
    </row>
    <row r="27" spans="1:8" s="9" customFormat="1" x14ac:dyDescent="0.35">
      <c r="A27" s="3" t="s">
        <v>123</v>
      </c>
      <c r="B27" s="8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96">
        <v>0.19</v>
      </c>
      <c r="H27" s="3" t="s">
        <v>306</v>
      </c>
    </row>
    <row r="28" spans="1:8" s="9" customFormat="1" x14ac:dyDescent="0.35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96">
        <v>0.2</v>
      </c>
      <c r="H28" s="3" t="s">
        <v>301</v>
      </c>
    </row>
    <row r="29" spans="1:8" x14ac:dyDescent="0.35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96">
        <v>0.2</v>
      </c>
      <c r="H29" s="3" t="s">
        <v>302</v>
      </c>
    </row>
    <row r="30" spans="1:8" x14ac:dyDescent="0.35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96">
        <v>0.2</v>
      </c>
      <c r="H30" s="3" t="s">
        <v>303</v>
      </c>
    </row>
    <row r="31" spans="1:8" x14ac:dyDescent="0.35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96">
        <v>0.2</v>
      </c>
      <c r="H31" s="3" t="s">
        <v>304</v>
      </c>
    </row>
    <row r="32" spans="1:8" x14ac:dyDescent="0.35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96">
        <v>0.2</v>
      </c>
      <c r="H32" s="3" t="s">
        <v>174</v>
      </c>
    </row>
  </sheetData>
  <hyperlinks>
    <hyperlink ref="H14" r:id="rId1"/>
    <hyperlink ref="H13" r:id="rId2"/>
    <hyperlink ref="H16" r:id="rId3"/>
    <hyperlink ref="H17" r:id="rId4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"/>
  <dimension ref="B1:E34"/>
  <sheetViews>
    <sheetView showGridLines="0" zoomScaleNormal="100" workbookViewId="0">
      <selection activeCell="B17" sqref="B17"/>
    </sheetView>
  </sheetViews>
  <sheetFormatPr defaultRowHeight="13.5" x14ac:dyDescent="0.35"/>
  <cols>
    <col min="1" max="1" width="1.5" customWidth="1"/>
    <col min="2" max="2" width="37.375" customWidth="1"/>
    <col min="3" max="3" width="20" customWidth="1"/>
    <col min="4" max="4" width="12.5" customWidth="1"/>
    <col min="5" max="5" width="7.125" customWidth="1"/>
  </cols>
  <sheetData>
    <row r="1" spans="2:4" ht="13.5" customHeight="1" x14ac:dyDescent="0.35"/>
    <row r="2" spans="2:4" x14ac:dyDescent="0.35">
      <c r="B2" t="s">
        <v>126</v>
      </c>
    </row>
    <row r="3" spans="2:4" x14ac:dyDescent="0.35">
      <c r="B3" t="s">
        <v>127</v>
      </c>
    </row>
    <row r="4" spans="2:4" x14ac:dyDescent="0.35">
      <c r="B4" t="s">
        <v>128</v>
      </c>
    </row>
    <row r="5" spans="2:4" x14ac:dyDescent="0.35">
      <c r="B5" t="s">
        <v>129</v>
      </c>
    </row>
    <row r="7" spans="2:4" x14ac:dyDescent="0.35">
      <c r="C7" s="26" t="s">
        <v>199</v>
      </c>
      <c r="D7" s="94">
        <v>15075</v>
      </c>
    </row>
    <row r="8" spans="2:4" x14ac:dyDescent="0.35">
      <c r="C8" s="26" t="s">
        <v>9</v>
      </c>
      <c r="D8" s="27">
        <v>43157</v>
      </c>
    </row>
    <row r="9" spans="2:4" x14ac:dyDescent="0.35">
      <c r="C9" s="26" t="s">
        <v>130</v>
      </c>
      <c r="D9" s="26" t="s">
        <v>140</v>
      </c>
    </row>
    <row r="12" spans="2:4" x14ac:dyDescent="0.35">
      <c r="B12" t="s">
        <v>82</v>
      </c>
    </row>
    <row r="13" spans="2:4" x14ac:dyDescent="0.35">
      <c r="B13" t="s">
        <v>65</v>
      </c>
    </row>
    <row r="15" spans="2:4" x14ac:dyDescent="0.35">
      <c r="B15" t="s">
        <v>60</v>
      </c>
    </row>
    <row r="16" spans="2:4" x14ac:dyDescent="0.35">
      <c r="B16" t="s">
        <v>61</v>
      </c>
    </row>
    <row r="17" spans="2:5" x14ac:dyDescent="0.35">
      <c r="B17" t="s">
        <v>57</v>
      </c>
    </row>
    <row r="20" spans="2:5" ht="33.75" customHeight="1" x14ac:dyDescent="0.35">
      <c r="B20" s="31" t="s">
        <v>131</v>
      </c>
      <c r="C20" s="31" t="s">
        <v>132</v>
      </c>
      <c r="D20" s="31" t="s">
        <v>133</v>
      </c>
      <c r="E20" s="31" t="s">
        <v>139</v>
      </c>
    </row>
    <row r="21" spans="2:5" x14ac:dyDescent="0.35">
      <c r="B21" s="28" t="s">
        <v>241</v>
      </c>
      <c r="C21" s="33">
        <v>43027</v>
      </c>
      <c r="D21" s="30">
        <v>5562.5</v>
      </c>
      <c r="E21" s="97">
        <v>0.2</v>
      </c>
    </row>
    <row r="22" spans="2:5" x14ac:dyDescent="0.35">
      <c r="B22" s="28"/>
      <c r="C22" s="33"/>
      <c r="D22" s="30"/>
      <c r="E22" s="97">
        <f>IF(D22="",0,$E$21)</f>
        <v>0</v>
      </c>
    </row>
    <row r="23" spans="2:5" x14ac:dyDescent="0.35">
      <c r="B23" s="28"/>
      <c r="C23" s="33"/>
      <c r="D23" s="30"/>
      <c r="E23" s="97">
        <f>IF(D23="",0,$E$21)</f>
        <v>0</v>
      </c>
    </row>
    <row r="24" spans="2:5" x14ac:dyDescent="0.35">
      <c r="B24" s="28"/>
      <c r="C24" s="29"/>
      <c r="D24" s="30"/>
      <c r="E24" s="97"/>
    </row>
    <row r="25" spans="2:5" ht="21.75" customHeight="1" x14ac:dyDescent="0.35">
      <c r="C25" s="1" t="s">
        <v>134</v>
      </c>
      <c r="D25" s="7">
        <f>SUM(D21:D24)</f>
        <v>5562.5</v>
      </c>
    </row>
    <row r="26" spans="2:5" ht="21.75" customHeight="1" x14ac:dyDescent="0.35">
      <c r="C26" s="1" t="s">
        <v>98</v>
      </c>
      <c r="D26" s="7">
        <f>SUMPRODUCT(D21:D24*E21:E24)</f>
        <v>1112.5</v>
      </c>
    </row>
    <row r="27" spans="2:5" ht="21.75" customHeight="1" x14ac:dyDescent="0.4">
      <c r="C27" s="2" t="s">
        <v>135</v>
      </c>
      <c r="D27" s="7">
        <f>D25+D26</f>
        <v>6675</v>
      </c>
    </row>
    <row r="28" spans="2:5" ht="34.5" customHeight="1" x14ac:dyDescent="0.35"/>
    <row r="29" spans="2:5" ht="42.75" customHeight="1" x14ac:dyDescent="0.35"/>
    <row r="30" spans="2:5" ht="55.5" customHeight="1" x14ac:dyDescent="0.35"/>
    <row r="31" spans="2:5" x14ac:dyDescent="0.35">
      <c r="B31" t="s">
        <v>136</v>
      </c>
    </row>
    <row r="32" spans="2:5" x14ac:dyDescent="0.35">
      <c r="B32" t="s">
        <v>283</v>
      </c>
    </row>
    <row r="33" spans="2:2" x14ac:dyDescent="0.35">
      <c r="B33" t="s">
        <v>137</v>
      </c>
    </row>
    <row r="34" spans="2:2" x14ac:dyDescent="0.35">
      <c r="B34" t="s">
        <v>138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alc"/>
  <dimension ref="A1:K59"/>
  <sheetViews>
    <sheetView showGridLines="0" workbookViewId="0">
      <selection activeCell="C20" sqref="C20"/>
    </sheetView>
  </sheetViews>
  <sheetFormatPr defaultRowHeight="13.5" x14ac:dyDescent="0.35"/>
  <cols>
    <col min="2" max="2" width="13.375" customWidth="1"/>
    <col min="3" max="3" width="9.875" bestFit="1" customWidth="1"/>
    <col min="4" max="4" width="11.25" bestFit="1" customWidth="1"/>
    <col min="5" max="5" width="13" customWidth="1"/>
  </cols>
  <sheetData>
    <row r="1" spans="1:11" x14ac:dyDescent="0.35">
      <c r="A1" s="21" t="s">
        <v>197</v>
      </c>
      <c r="B1" s="21"/>
      <c r="C1" s="21"/>
      <c r="D1" s="21"/>
      <c r="E1" s="21"/>
      <c r="F1" s="21"/>
      <c r="G1" s="21"/>
      <c r="H1" s="21"/>
      <c r="I1" s="21"/>
      <c r="J1" s="21"/>
    </row>
    <row r="3" spans="1:11" x14ac:dyDescent="0.35">
      <c r="A3" t="s">
        <v>198</v>
      </c>
      <c r="D3" t="s">
        <v>244</v>
      </c>
      <c r="E3" s="22">
        <f>Dashboard!C1</f>
        <v>43187</v>
      </c>
      <c r="K3" t="s">
        <v>243</v>
      </c>
    </row>
    <row r="5" spans="1:11" x14ac:dyDescent="0.35">
      <c r="B5" s="23" t="s">
        <v>9</v>
      </c>
      <c r="C5" t="s">
        <v>194</v>
      </c>
    </row>
    <row r="6" spans="1:11" x14ac:dyDescent="0.35">
      <c r="A6" s="22"/>
      <c r="B6" s="25">
        <v>42736</v>
      </c>
      <c r="C6" s="24">
        <f>IF(B6&gt;$E$3,"",SUMIFS(InvoiceTable[Net Amount],InvoiceTable[Invoice Date],"&gt;="&amp;DATE(YEAR(B6),MONTH(B6),1),InvoiceTable[Invoice Date],"&lt;"&amp;DATE(YEAR(B6),MONTH(B6)+1,1),InvoiceTable[Status],"paid"))</f>
        <v>0</v>
      </c>
      <c r="F6" s="22"/>
    </row>
    <row r="7" spans="1:11" x14ac:dyDescent="0.35">
      <c r="B7" s="25">
        <v>42767</v>
      </c>
      <c r="C7" s="24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5">
      <c r="B8" s="25">
        <v>42795</v>
      </c>
      <c r="C8" s="24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35">
      <c r="B9" s="25">
        <v>42826</v>
      </c>
      <c r="C9" s="24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5">
      <c r="B10" s="25">
        <v>42856</v>
      </c>
      <c r="C10" s="24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5">
      <c r="B11" s="25">
        <v>42887</v>
      </c>
      <c r="C11" s="24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5">
      <c r="B12" s="25">
        <v>42917</v>
      </c>
      <c r="C12" s="24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5">
      <c r="B13" s="25">
        <v>42948</v>
      </c>
      <c r="C13" s="24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5">
      <c r="B14" s="25">
        <v>42979</v>
      </c>
      <c r="C14" s="24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5">
      <c r="B15" s="25">
        <v>43009</v>
      </c>
      <c r="C15" s="24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5">
      <c r="B16" s="25">
        <v>43040</v>
      </c>
      <c r="C16" s="24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35">
      <c r="B17" s="25">
        <v>43070</v>
      </c>
      <c r="C17" s="24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35">
      <c r="B18" s="25">
        <v>43101</v>
      </c>
      <c r="C18" s="24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35">
      <c r="B19" s="25">
        <v>43132</v>
      </c>
      <c r="C19" s="24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35">
      <c r="B20" s="25">
        <v>43160</v>
      </c>
      <c r="C20" s="24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35">
      <c r="B21" s="25">
        <v>43191</v>
      </c>
      <c r="C21" s="24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35">
      <c r="B22" s="25">
        <v>43221</v>
      </c>
      <c r="C22" s="24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35">
      <c r="B23" s="25">
        <v>43252</v>
      </c>
      <c r="C23" s="24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35">
      <c r="B24" s="25">
        <v>43282</v>
      </c>
      <c r="C24" s="24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35">
      <c r="B25" s="25">
        <v>43313</v>
      </c>
      <c r="C25" s="24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35">
      <c r="B26" s="25">
        <v>43344</v>
      </c>
      <c r="C26" s="24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35">
      <c r="B27" s="25">
        <v>43374</v>
      </c>
      <c r="C27" s="24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35">
      <c r="B28" s="25">
        <v>43405</v>
      </c>
      <c r="C28" s="24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35">
      <c r="B29" s="25">
        <v>43435</v>
      </c>
      <c r="C29" s="24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35">
      <c r="B30" s="25">
        <v>43466</v>
      </c>
      <c r="C30" s="24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35">
      <c r="B31" s="25">
        <v>43497</v>
      </c>
      <c r="C31" s="24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35">
      <c r="B32" s="25">
        <v>43525</v>
      </c>
      <c r="C32" s="24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35">
      <c r="B33" s="25">
        <v>43556</v>
      </c>
      <c r="C33" s="24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35">
      <c r="B34" s="25">
        <v>43586</v>
      </c>
      <c r="C34" s="24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35">
      <c r="B35" s="25">
        <v>43617</v>
      </c>
      <c r="C35" s="24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35">
      <c r="B36" s="25">
        <v>43647</v>
      </c>
      <c r="C36" s="24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35">
      <c r="B37" s="25">
        <v>43678</v>
      </c>
      <c r="C37" s="24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35">
      <c r="B38" s="25">
        <v>43709</v>
      </c>
      <c r="C38" s="24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35">
      <c r="B39" s="25">
        <v>43739</v>
      </c>
      <c r="C39" s="24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35">
      <c r="B40" s="25">
        <v>43770</v>
      </c>
      <c r="C40" s="24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35">
      <c r="B41" s="25">
        <v>43800</v>
      </c>
      <c r="C41" s="24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35">
      <c r="B42" s="25">
        <v>43831</v>
      </c>
      <c r="C42" s="24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35">
      <c r="B43" s="25">
        <v>43862</v>
      </c>
      <c r="C43" s="24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35">
      <c r="B44" s="25">
        <v>43891</v>
      </c>
      <c r="C44" s="24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35">
      <c r="B45" s="25">
        <v>43922</v>
      </c>
      <c r="C45" s="24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35">
      <c r="B46" s="25">
        <v>43952</v>
      </c>
      <c r="C46" s="24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35">
      <c r="B47" s="25">
        <v>43983</v>
      </c>
      <c r="C47" s="24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35">
      <c r="B48" s="25">
        <v>44013</v>
      </c>
      <c r="C48" s="24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35">
      <c r="B49" s="25">
        <v>44044</v>
      </c>
      <c r="C49" s="24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35">
      <c r="B50" s="25">
        <v>44075</v>
      </c>
      <c r="C50" s="24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35">
      <c r="B51" s="25">
        <v>44105</v>
      </c>
      <c r="C51" s="24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35">
      <c r="B52" s="25">
        <v>44136</v>
      </c>
      <c r="C52" s="24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35">
      <c r="B53" s="25">
        <v>44166</v>
      </c>
      <c r="C53" s="24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35">
      <c r="B54" s="22"/>
    </row>
    <row r="55" spans="2:3" x14ac:dyDescent="0.35">
      <c r="B55" s="22"/>
    </row>
    <row r="56" spans="2:3" x14ac:dyDescent="0.35">
      <c r="B56" s="22"/>
    </row>
    <row r="57" spans="2:3" x14ac:dyDescent="0.35">
      <c r="B57" s="22"/>
    </row>
    <row r="58" spans="2:3" x14ac:dyDescent="0.35">
      <c r="B58" s="22"/>
    </row>
    <row r="59" spans="2:3" x14ac:dyDescent="0.35">
      <c r="B59" s="22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Leila Gharani</cp:lastModifiedBy>
  <cp:lastPrinted>2017-12-21T12:43:58Z</cp:lastPrinted>
  <dcterms:created xsi:type="dcterms:W3CDTF">2017-10-05T08:02:23Z</dcterms:created>
  <dcterms:modified xsi:type="dcterms:W3CDTF">2018-06-06T14:29:02Z</dcterms:modified>
</cp:coreProperties>
</file>